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subho\Downloads\Hospital Emergency Room Performance Analysis\"/>
    </mc:Choice>
  </mc:AlternateContent>
  <xr:revisionPtr revIDLastSave="0" documentId="13_ncr:1_{2B7914AE-7F99-4C52-B1CB-ED21984054AF}" xr6:coauthVersionLast="47" xr6:coauthVersionMax="47" xr10:uidLastSave="{00000000-0000-0000-0000-000000000000}"/>
  <bookViews>
    <workbookView xWindow="-120" yWindow="-120" windowWidth="29040" windowHeight="16440" xr2:uid="{2188E48D-B3F6-439F-9CFC-678A105B3FC2}"/>
  </bookViews>
  <sheets>
    <sheet name="Dashboard" sheetId="2" r:id="rId1"/>
    <sheet name="Patient Trend" sheetId="8" r:id="rId2"/>
    <sheet name="Patient Wait Time Trend" sheetId="10" r:id="rId3"/>
    <sheet name="Patient Satisfaction Trend" sheetId="6" r:id="rId4"/>
    <sheet name="Pivots" sheetId="1" state="hidden"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0ca2f184-b62e-4eda-8fd3-6f63b3686e1e" name="Hospital Emergency Room Data" connection="Query - Hospital Emergency Room Data"/>
          <x15:modelTable id="Calendar Table_1e94cf31-6b52-467e-ac4f-081e5028fffc" name="Calendar Table" connection="Query - Calendar Table"/>
        </x15:modelTables>
        <x15:modelRelationships>
          <x15:modelRelationship fromTable="Hospital Emergency Room Data" fromColumn="Patient Admission Date" toTable="Calendar Table" toColumn="Date"/>
        </x15:modelRelationships>
        <x15:extLst>
          <ext xmlns:x16="http://schemas.microsoft.com/office/spreadsheetml/2014/11/main" uri="{9835A34E-60A6-4A7C-AAB8-D5F71C897F49}">
            <x16:modelTimeGroupings>
              <x16:modelTimeGrouping tableName="Calendar Table" columnName="Date" columnId="Date">
                <x16:calculatedTimeColumn columnName="Date (Year)" columnId="Date (Year)" contentType="years" isSelected="1"/>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P12" i="1" l="1"/>
  <c r="AP13" i="1"/>
  <c r="AO12" i="1"/>
  <c r="AO13" i="1"/>
  <c r="AM7" i="1"/>
  <c r="AM6" i="1"/>
  <c r="AK6" i="1"/>
  <c r="AK7" i="1"/>
  <c r="AJ7" i="1"/>
  <c r="AJ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6E6DEC-A30B-4A47-B83B-E93FD472DDB0}" name="Query - Calendar Table" description="Connection to the 'Calendar Table' query in the workbook." type="100" refreshedVersion="8" minRefreshableVersion="5">
    <extLst>
      <ext xmlns:x15="http://schemas.microsoft.com/office/spreadsheetml/2010/11/main" uri="{DE250136-89BD-433C-8126-D09CA5730AF9}">
        <x15:connection id="2dcc23d2-d261-4f84-aaa7-c0510d882fcd">
          <x15:oledbPr connection="Provider=Microsoft.Mashup.OleDb.1;Data Source=$Workbook$;Location=&quot;Calendar Table&quot;;Extended Properties=&quot;&quot;">
            <x15:dbTables>
              <x15:dbTable name="Calendar Table"/>
            </x15:dbTables>
          </x15:oledbPr>
        </x15:connection>
      </ext>
    </extLst>
  </connection>
  <connection id="2" xr16:uid="{9DA9A638-518B-414D-9035-AB169B5FF7A8}"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bd91646-fa50-4eb7-8c53-e3f36bd802cf"/>
      </ext>
    </extLst>
  </connection>
  <connection id="3" xr16:uid="{A3B097CA-76CA-430F-B80F-BBC8D41E107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<sst xmlns="http://schemas.openxmlformats.org/spreadsheetml/2006/main" count="157" uniqueCount="65">
  <si>
    <t>Distinct Count of Patient Id</t>
  </si>
  <si>
    <t>Average of Patient Waittime</t>
  </si>
  <si>
    <t>Average of Patient Satisfaction Score</t>
  </si>
  <si>
    <t>Row Labels</t>
  </si>
  <si>
    <t>Grand Total</t>
  </si>
  <si>
    <t>2023</t>
  </si>
  <si>
    <t>Aug</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</si>
  <si>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</si>
  <si>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</si>
  <si>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</si>
  <si>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</si>
  <si>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</si>
  <si>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</si>
  <si>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</si>
  <si>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</si>
  <si>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</si>
  <si>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</si>
  <si>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</si>
  <si>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</si>
  <si>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</si>
  <si>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</si>
  <si>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</si>
  <si>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</si>
  <si>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</si>
  <si>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</si>
  <si>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</si>
  <si>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</si>
  <si>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</si>
  <si>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</si>
  <si>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</si>
  <si>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</si>
  <si>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</si>
  <si>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</si>
  <si>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</si>
  <si>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</si>
  <si>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</si>
  <si>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</si>
  <si>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</si>
  <si>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00 - 09</t>
  </si>
  <si>
    <t>10 - 19</t>
  </si>
  <si>
    <t>20 - 29</t>
  </si>
  <si>
    <t>30 - 39</t>
  </si>
  <si>
    <t>40 - 49</t>
  </si>
  <si>
    <t>50 - 59</t>
  </si>
  <si>
    <t>60 - 69</t>
  </si>
  <si>
    <t>70 - 79</t>
  </si>
  <si>
    <t>Cardiology</t>
  </si>
  <si>
    <t>Gastroenterology</t>
  </si>
  <si>
    <t>General Practice</t>
  </si>
  <si>
    <t>Neurology</t>
  </si>
  <si>
    <t>None</t>
  </si>
  <si>
    <t>Orthopedics</t>
  </si>
  <si>
    <t>Physiotherapy</t>
  </si>
  <si>
    <t>Renal</t>
  </si>
  <si>
    <t>Delay</t>
  </si>
  <si>
    <t>On Time</t>
  </si>
  <si>
    <t>Count of Patient Id</t>
  </si>
  <si>
    <t>Count of Patient Id2</t>
  </si>
  <si>
    <t>Female</t>
  </si>
  <si>
    <t>Male</t>
  </si>
  <si>
    <t>Admitted</t>
  </si>
  <si>
    <t>Not Admitted</t>
  </si>
  <si>
    <t>Admission Status</t>
  </si>
  <si>
    <t>Patients</t>
  </si>
  <si>
    <t>Percent of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</si>
</sst>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1"/>
      <color theme="1"/>
      <name val="Calibri"/>
      <family val="2"/>
      <scheme val="minor"/>
    </font>
    <font>
      <sz val="11"/>
      <color theme="3" tint="-0.499984740745262"/>
      <name val="Calibri"/>
      <family val="2"/>
      <scheme val="minor"/>
    </font>
    <font>
      <b/>
      <sz val="9"/>
      <color theme="0"/>
      <name val="Calibri"/>
      <family val="2"/>
      <scheme val="minor"/>
    </font>
    <font>
      <sz val="9"/>
      <color theme="4" tint="-0.499984740745262"/>
      <name val="Calibri"/>
      <family val="2"/>
      <scheme val="minor"/>
    </font>
  </fonts>
  <fills count="6">
    <fill>
      <patternFill patternType="none"/>
    </fill>
    <fill>
      <patternFill patternType="gray125"/>
    </fill>
    <fill>
      <patternFill patternType="solid">
        <fgColor theme="1"/>
        <bgColor indexed="64"/>
      </patternFill>
    </fill>
    <fill>
      <patternFill patternType="solid">
        <fgColor theme="4" tint="-0.499984740745262"/>
        <bgColor indexed="64"/>
      </patternFill>
    </fill>
    <fill>
      <patternFill patternType="solid">
        <fgColor theme="0"/>
        <bgColor indexed="64"/>
      </patternFill>
    </fill>
    <fill>
      <patternFill patternType="solid">
        <fgColor theme="3" tint="-0.499984740745262"/>
        <bgColor indexed="64"/>
      </patternFill>
    </fill>
  </fills>
  <borders count="2">
    <border>
      <left/>
      <right/>
      <top/>
      <bottom/>
      <diagonal/>
    </border>
    <border>
      <left style="thin">
        <color indexed="64"/>
      </left>
      <right/>
      <top/>
      <bottom/>
      <diagonal/>
    </border>
  </borders>
  <cellStyleXfs count="1">
    <xf numFmtId="0" fontId="0" fillId="0" borderId="0"/>
  </cellStyleXfs>
  <cellXfs count="18">
    <xf numFmtId="0" fontId="0" fillId="0" borderId="0" xfId="0"/>
    <xf numFmtId="2" fontId="0" fillId="0" borderId="0" xfId="0" applyNumberFormat="1"/>
    <xf numFmtId="1"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4" fontId="0" fillId="0" borderId="0" xfId="0" applyNumberFormat="1"/>
    <xf numFmtId="10" fontId="0" fillId="0" borderId="0" xfId="0" applyNumberFormat="1"/>
    <xf numFmtId="0" fontId="0" fillId="4" borderId="0" xfId="0" applyFill="1"/>
    <xf numFmtId="0" fontId="1" fillId="5" borderId="0" xfId="0" applyFont="1" applyFill="1"/>
    <xf numFmtId="0" fontId="2" fillId="3" borderId="0" xfId="0" applyFont="1" applyFill="1" applyAlignment="1">
      <alignment horizontal="center" vertical="center"/>
    </xf>
    <xf numFmtId="0" fontId="3" fillId="4" borderId="0" xfId="0" applyFont="1" applyFill="1" applyAlignment="1">
      <alignment vertical="center"/>
    </xf>
    <xf numFmtId="0" fontId="3" fillId="4" borderId="0" xfId="0" applyFont="1" applyFill="1" applyAlignment="1">
      <alignment horizontal="center" vertical="center"/>
    </xf>
    <xf numFmtId="10" fontId="3" fillId="4" borderId="1" xfId="0" applyNumberFormat="1" applyFont="1" applyFill="1" applyBorder="1" applyAlignment="1">
      <alignment horizontal="right" vertical="center"/>
    </xf>
    <xf numFmtId="10" fontId="3" fillId="4" borderId="0" xfId="0" applyNumberFormat="1" applyFont="1" applyFill="1" applyAlignment="1">
      <alignment vertical="center"/>
    </xf>
    <xf numFmtId="0" fontId="2" fillId="3" borderId="0" xfId="0" applyFont="1" applyFill="1" applyAlignment="1">
      <alignment horizontal="center" vertical="center"/>
    </xf>
  </cellXfs>
  <cellStyles count="1">
    <cellStyle name="Normal" xfId="0" builtinId="0"/>
  </cellStyles>
  <dxfs count="761">
    <dxf>
      <numFmt numFmtId="1" formatCode="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color theme="1"/>
      </font>
      <border>
        <bottom style="thin">
          <color theme="4"/>
        </bottom>
        <vertical/>
        <horizontal/>
      </border>
    </dxf>
    <dxf>
      <font>
        <color theme="1"/>
      </font>
      <fill>
        <patternFill patternType="none">
          <bgColor auto="1"/>
        </patternFill>
      </fill>
      <border diagonalUp="0" diagonalDown="0">
        <left/>
        <right/>
        <top/>
        <bottom/>
        <vertical/>
        <horizontal/>
      </border>
    </dxf>
    <dxf>
      <fill>
        <patternFill patternType="solid">
          <bgColor theme="0"/>
        </patternFill>
      </fill>
      <border diagonalUp="0" diagonalDown="0">
        <left/>
        <right/>
        <top/>
        <bottom/>
        <vertical/>
        <horizontal/>
      </border>
    </dxf>
    <dxf>
      <font>
        <b val="0"/>
        <i val="0"/>
        <strike val="0"/>
        <sz val="12"/>
        <name val="Calibri"/>
        <family val="2"/>
        <scheme val="minor"/>
      </font>
      <fill>
        <patternFill patternType="none">
          <bgColor auto="1"/>
        </patternFill>
      </fill>
    </dxf>
  </dxfs>
  <tableStyles count="3" defaultTableStyle="TableStyleMedium2" defaultPivotStyle="PivotStyleLight16">
    <tableStyle name="Slicer Style 1" pivot="0" table="0" count="3" xr9:uid="{58F7D566-4762-4E53-9576-D5A4CA3B9ECC}">
      <tableStyleElement type="wholeTable" dxfId="760"/>
    </tableStyle>
    <tableStyle name="Slicer Style 2" pivot="0" table="0" count="1" xr9:uid="{1759C376-F54D-4008-B231-05C00F62EFA7}">
      <tableStyleElement type="wholeTable" dxfId="759"/>
    </tableStyle>
    <tableStyle name="SlicerStyleLight1 2" pivot="0" table="0" count="10" xr9:uid="{DCF7344B-1962-4B9A-8A53-6119A6556600}">
      <tableStyleElement type="wholeTable" dxfId="758"/>
      <tableStyleElement type="headerRow" dxfId="757"/>
    </tableStyle>
  </tableStyles>
  <extLst>
    <ext xmlns:x14="http://schemas.microsoft.com/office/spreadsheetml/2009/9/main" uri="{46F421CA-312F-682f-3DD2-61675219B42D}">
      <x14:dxfs count="1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strike val="0"/>
          </font>
          <fill>
            <patternFill>
              <bgColor theme="0" tint="-0.24994659260841701"/>
            </patternFill>
          </fill>
        </dxf>
        <dxf>
          <font>
            <strike val="0"/>
          </font>
          <fill>
            <patternFill>
              <bgColor theme="0"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9"/>
            <x14:slicerStyleElement type="selectedItemWithNoData" dxfId="8"/>
          </x14:slicerStyleElements>
        </x14:slicerStyle>
        <x14:slicerStyle name="Slicer Style 2"/>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Performance Analysis.xlsx]Pivots!PivotTable4</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9.2601010101010101E-3"/>
          <c:w val="0.99444444444444446"/>
          <c:h val="0.9907407407407407"/>
        </c:manualLayout>
      </c:layout>
      <c:lineChart>
        <c:grouping val="standard"/>
        <c:varyColors val="0"/>
        <c:ser>
          <c:idx val="0"/>
          <c:order val="0"/>
          <c:tx>
            <c:strRef>
              <c:f>Pivots!$F$5</c:f>
              <c:strCache>
                <c:ptCount val="1"/>
                <c:pt idx="0">
                  <c:v>Total</c:v>
                </c:pt>
              </c:strCache>
            </c:strRef>
          </c:tx>
          <c:spPr>
            <a:ln w="28575" cap="rnd">
              <a:solidFill>
                <a:schemeClr val="accent1">
                  <a:lumMod val="50000"/>
                </a:schemeClr>
              </a:solidFill>
              <a:round/>
            </a:ln>
            <a:effectLst/>
          </c:spPr>
          <c:marker>
            <c:symbol val="none"/>
          </c:marker>
          <c:cat>
            <c:multiLvlStrRef>
              <c:f>Pivots!$E$6:$E$39</c:f>
              <c:multiLvlStrCache>
                <c:ptCount val="31"/>
                <c:lvl>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lvl>
                <c:lvl>
                  <c:pt idx="0">
                    <c:v>Aug</c:v>
                  </c:pt>
                </c:lvl>
                <c:lvl>
                  <c:pt idx="0">
                    <c:v>2023</c:v>
                  </c:pt>
                </c:lvl>
              </c:multiLvlStrCache>
            </c:multiLvlStrRef>
          </c:cat>
          <c:val>
            <c:numRef>
              <c:f>Pivots!$F$6:$F$39</c:f>
              <c:numCache>
                <c:formatCode>General</c:formatCode>
                <c:ptCount val="31"/>
                <c:pt idx="0">
                  <c:v>14</c:v>
                </c:pt>
                <c:pt idx="1">
                  <c:v>15</c:v>
                </c:pt>
                <c:pt idx="2">
                  <c:v>17</c:v>
                </c:pt>
                <c:pt idx="3">
                  <c:v>12</c:v>
                </c:pt>
                <c:pt idx="4">
                  <c:v>23</c:v>
                </c:pt>
                <c:pt idx="5">
                  <c:v>10</c:v>
                </c:pt>
                <c:pt idx="6">
                  <c:v>18</c:v>
                </c:pt>
                <c:pt idx="7">
                  <c:v>11</c:v>
                </c:pt>
                <c:pt idx="8">
                  <c:v>12</c:v>
                </c:pt>
                <c:pt idx="9">
                  <c:v>24</c:v>
                </c:pt>
                <c:pt idx="10">
                  <c:v>16</c:v>
                </c:pt>
                <c:pt idx="11">
                  <c:v>21</c:v>
                </c:pt>
                <c:pt idx="12">
                  <c:v>16</c:v>
                </c:pt>
                <c:pt idx="13">
                  <c:v>15</c:v>
                </c:pt>
                <c:pt idx="14">
                  <c:v>14</c:v>
                </c:pt>
                <c:pt idx="15">
                  <c:v>18</c:v>
                </c:pt>
                <c:pt idx="16">
                  <c:v>12</c:v>
                </c:pt>
                <c:pt idx="17">
                  <c:v>18</c:v>
                </c:pt>
                <c:pt idx="18">
                  <c:v>16</c:v>
                </c:pt>
                <c:pt idx="19">
                  <c:v>22</c:v>
                </c:pt>
                <c:pt idx="20">
                  <c:v>16</c:v>
                </c:pt>
                <c:pt idx="21">
                  <c:v>10</c:v>
                </c:pt>
                <c:pt idx="22">
                  <c:v>18</c:v>
                </c:pt>
                <c:pt idx="23">
                  <c:v>13</c:v>
                </c:pt>
                <c:pt idx="24">
                  <c:v>20</c:v>
                </c:pt>
                <c:pt idx="25">
                  <c:v>17</c:v>
                </c:pt>
                <c:pt idx="26">
                  <c:v>19</c:v>
                </c:pt>
                <c:pt idx="27">
                  <c:v>17</c:v>
                </c:pt>
                <c:pt idx="28">
                  <c:v>22</c:v>
                </c:pt>
                <c:pt idx="29">
                  <c:v>9</c:v>
                </c:pt>
                <c:pt idx="30">
                  <c:v>9</c:v>
                </c:pt>
              </c:numCache>
            </c:numRef>
          </c:val>
          <c:smooth val="0"/>
          <c:extLst>
            <c:ext xmlns:c16="http://schemas.microsoft.com/office/drawing/2014/chart" uri="{C3380CC4-5D6E-409C-BE32-E72D297353CC}">
              <c16:uniqueId val="{00000003-508F-4E69-973D-1D78F13236EE}"/>
            </c:ext>
          </c:extLst>
        </c:ser>
        <c:dLbls>
          <c:showLegendKey val="0"/>
          <c:showVal val="0"/>
          <c:showCatName val="0"/>
          <c:showSerName val="0"/>
          <c:showPercent val="0"/>
          <c:showBubbleSize val="0"/>
        </c:dLbls>
        <c:smooth val="0"/>
        <c:axId val="1450135888"/>
        <c:axId val="1448280304"/>
      </c:lineChart>
      <c:catAx>
        <c:axId val="1450135888"/>
        <c:scaling>
          <c:orientation val="minMax"/>
        </c:scaling>
        <c:delete val="1"/>
        <c:axPos val="b"/>
        <c:numFmt formatCode="General" sourceLinked="1"/>
        <c:majorTickMark val="none"/>
        <c:minorTickMark val="none"/>
        <c:tickLblPos val="nextTo"/>
        <c:crossAx val="1448280304"/>
        <c:crosses val="autoZero"/>
        <c:auto val="1"/>
        <c:lblAlgn val="ctr"/>
        <c:lblOffset val="100"/>
        <c:noMultiLvlLbl val="0"/>
      </c:catAx>
      <c:valAx>
        <c:axId val="1448280304"/>
        <c:scaling>
          <c:orientation val="minMax"/>
        </c:scaling>
        <c:delete val="1"/>
        <c:axPos val="l"/>
        <c:numFmt formatCode="General" sourceLinked="1"/>
        <c:majorTickMark val="none"/>
        <c:minorTickMark val="none"/>
        <c:tickLblPos val="nextTo"/>
        <c:crossAx val="1450135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Performance Analysis.xlsx]Pivots!PivotTable5</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555555555555558E-3"/>
          <c:y val="4.6296296296296294E-3"/>
          <c:w val="0.99444444444444446"/>
          <c:h val="0.99537037037037035"/>
        </c:manualLayout>
      </c:layout>
      <c:lineChart>
        <c:grouping val="standard"/>
        <c:varyColors val="0"/>
        <c:ser>
          <c:idx val="0"/>
          <c:order val="0"/>
          <c:tx>
            <c:strRef>
              <c:f>Pivots!$I$5</c:f>
              <c:strCache>
                <c:ptCount val="1"/>
                <c:pt idx="0">
                  <c:v>Total</c:v>
                </c:pt>
              </c:strCache>
            </c:strRef>
          </c:tx>
          <c:spPr>
            <a:ln w="28575" cap="rnd">
              <a:solidFill>
                <a:schemeClr val="accent1">
                  <a:lumMod val="50000"/>
                </a:schemeClr>
              </a:solidFill>
              <a:round/>
            </a:ln>
            <a:effectLst/>
          </c:spPr>
          <c:marker>
            <c:symbol val="none"/>
          </c:marker>
          <c:cat>
            <c:multiLvlStrRef>
              <c:f>Pivots!$H$6:$H$39</c:f>
              <c:multiLvlStrCache>
                <c:ptCount val="31"/>
                <c:lvl>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lvl>
                <c:lvl>
                  <c:pt idx="0">
                    <c:v>Aug</c:v>
                  </c:pt>
                </c:lvl>
                <c:lvl>
                  <c:pt idx="0">
                    <c:v>2023</c:v>
                  </c:pt>
                </c:lvl>
              </c:multiLvlStrCache>
            </c:multiLvlStrRef>
          </c:cat>
          <c:val>
            <c:numRef>
              <c:f>Pivots!$I$6:$I$39</c:f>
              <c:numCache>
                <c:formatCode>0</c:formatCode>
                <c:ptCount val="31"/>
                <c:pt idx="0">
                  <c:v>35.714285714285715</c:v>
                </c:pt>
                <c:pt idx="1">
                  <c:v>38.533333333333331</c:v>
                </c:pt>
                <c:pt idx="2">
                  <c:v>38.941176470588232</c:v>
                </c:pt>
                <c:pt idx="3">
                  <c:v>35.666666666666664</c:v>
                </c:pt>
                <c:pt idx="4">
                  <c:v>39.478260869565219</c:v>
                </c:pt>
                <c:pt idx="5">
                  <c:v>25.1</c:v>
                </c:pt>
                <c:pt idx="6">
                  <c:v>43.666666666666664</c:v>
                </c:pt>
                <c:pt idx="7">
                  <c:v>38.090909090909093</c:v>
                </c:pt>
                <c:pt idx="8">
                  <c:v>28.25</c:v>
                </c:pt>
                <c:pt idx="9">
                  <c:v>36.291666666666664</c:v>
                </c:pt>
                <c:pt idx="10">
                  <c:v>31.875</c:v>
                </c:pt>
                <c:pt idx="11">
                  <c:v>32.333333333333336</c:v>
                </c:pt>
                <c:pt idx="12">
                  <c:v>36.3125</c:v>
                </c:pt>
                <c:pt idx="13">
                  <c:v>41.133333333333333</c:v>
                </c:pt>
                <c:pt idx="14">
                  <c:v>32.071428571428569</c:v>
                </c:pt>
                <c:pt idx="15">
                  <c:v>34.222222222222221</c:v>
                </c:pt>
                <c:pt idx="16">
                  <c:v>43.666666666666664</c:v>
                </c:pt>
                <c:pt idx="17">
                  <c:v>38.5</c:v>
                </c:pt>
                <c:pt idx="18">
                  <c:v>32.6875</c:v>
                </c:pt>
                <c:pt idx="19">
                  <c:v>41.045454545454547</c:v>
                </c:pt>
                <c:pt idx="20">
                  <c:v>36.6875</c:v>
                </c:pt>
                <c:pt idx="21">
                  <c:v>38.5</c:v>
                </c:pt>
                <c:pt idx="22">
                  <c:v>33.777777777777779</c:v>
                </c:pt>
                <c:pt idx="23">
                  <c:v>41.692307692307693</c:v>
                </c:pt>
                <c:pt idx="24">
                  <c:v>31.7</c:v>
                </c:pt>
                <c:pt idx="25">
                  <c:v>36.470588235294116</c:v>
                </c:pt>
                <c:pt idx="26">
                  <c:v>37.210526315789473</c:v>
                </c:pt>
                <c:pt idx="27">
                  <c:v>36.294117647058826</c:v>
                </c:pt>
                <c:pt idx="28">
                  <c:v>32</c:v>
                </c:pt>
                <c:pt idx="29">
                  <c:v>41.444444444444443</c:v>
                </c:pt>
                <c:pt idx="30">
                  <c:v>40.444444444444443</c:v>
                </c:pt>
              </c:numCache>
            </c:numRef>
          </c:val>
          <c:smooth val="0"/>
          <c:extLst>
            <c:ext xmlns:c16="http://schemas.microsoft.com/office/drawing/2014/chart" uri="{C3380CC4-5D6E-409C-BE32-E72D297353CC}">
              <c16:uniqueId val="{00000003-8A3D-41B4-8FF0-E98576DD116A}"/>
            </c:ext>
          </c:extLst>
        </c:ser>
        <c:dLbls>
          <c:showLegendKey val="0"/>
          <c:showVal val="0"/>
          <c:showCatName val="0"/>
          <c:showSerName val="0"/>
          <c:showPercent val="0"/>
          <c:showBubbleSize val="0"/>
        </c:dLbls>
        <c:smooth val="0"/>
        <c:axId val="242159167"/>
        <c:axId val="1448252464"/>
      </c:lineChart>
      <c:catAx>
        <c:axId val="242159167"/>
        <c:scaling>
          <c:orientation val="minMax"/>
        </c:scaling>
        <c:delete val="1"/>
        <c:axPos val="b"/>
        <c:numFmt formatCode="General" sourceLinked="1"/>
        <c:majorTickMark val="none"/>
        <c:minorTickMark val="none"/>
        <c:tickLblPos val="nextTo"/>
        <c:crossAx val="1448252464"/>
        <c:crosses val="autoZero"/>
        <c:auto val="1"/>
        <c:lblAlgn val="ctr"/>
        <c:lblOffset val="100"/>
        <c:noMultiLvlLbl val="0"/>
      </c:catAx>
      <c:valAx>
        <c:axId val="1448252464"/>
        <c:scaling>
          <c:orientation val="minMax"/>
        </c:scaling>
        <c:delete val="1"/>
        <c:axPos val="l"/>
        <c:numFmt formatCode="0" sourceLinked="1"/>
        <c:majorTickMark val="none"/>
        <c:minorTickMark val="none"/>
        <c:tickLblPos val="nextTo"/>
        <c:crossAx val="24215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Performance Analysis.xlsx]Pivots!PivotTable6</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9E-3"/>
          <c:y val="4.6296296296296294E-3"/>
          <c:w val="0.99722222222222223"/>
          <c:h val="0.9907407407407407"/>
        </c:manualLayout>
      </c:layout>
      <c:lineChart>
        <c:grouping val="standard"/>
        <c:varyColors val="0"/>
        <c:ser>
          <c:idx val="0"/>
          <c:order val="0"/>
          <c:tx>
            <c:strRef>
              <c:f>Pivots!$L$5</c:f>
              <c:strCache>
                <c:ptCount val="1"/>
                <c:pt idx="0">
                  <c:v>Total</c:v>
                </c:pt>
              </c:strCache>
            </c:strRef>
          </c:tx>
          <c:spPr>
            <a:ln w="28575" cap="rnd">
              <a:solidFill>
                <a:schemeClr val="accent1">
                  <a:lumMod val="50000"/>
                </a:schemeClr>
              </a:solidFill>
              <a:round/>
            </a:ln>
            <a:effectLst/>
          </c:spPr>
          <c:marker>
            <c:symbol val="none"/>
          </c:marker>
          <c:cat>
            <c:multiLvlStrRef>
              <c:f>Pivots!$K$6:$K$39</c:f>
              <c:multiLvlStrCache>
                <c:ptCount val="31"/>
                <c:lvl>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lvl>
                <c:lvl>
                  <c:pt idx="0">
                    <c:v>Aug</c:v>
                  </c:pt>
                </c:lvl>
                <c:lvl>
                  <c:pt idx="0">
                    <c:v>2023</c:v>
                  </c:pt>
                </c:lvl>
              </c:multiLvlStrCache>
            </c:multiLvlStrRef>
          </c:cat>
          <c:val>
            <c:numRef>
              <c:f>Pivots!$L$6:$L$39</c:f>
              <c:numCache>
                <c:formatCode>0.0</c:formatCode>
                <c:ptCount val="31"/>
                <c:pt idx="0">
                  <c:v>8</c:v>
                </c:pt>
                <c:pt idx="1">
                  <c:v>4</c:v>
                </c:pt>
                <c:pt idx="2">
                  <c:v>5.333333333333333</c:v>
                </c:pt>
                <c:pt idx="3">
                  <c:v>4.666666666666667</c:v>
                </c:pt>
                <c:pt idx="4">
                  <c:v>6.2</c:v>
                </c:pt>
                <c:pt idx="5">
                  <c:v>6.333333333333333</c:v>
                </c:pt>
                <c:pt idx="6">
                  <c:v>9.5</c:v>
                </c:pt>
                <c:pt idx="7">
                  <c:v>2</c:v>
                </c:pt>
                <c:pt idx="8">
                  <c:v>6.666666666666667</c:v>
                </c:pt>
                <c:pt idx="9">
                  <c:v>2.25</c:v>
                </c:pt>
                <c:pt idx="10">
                  <c:v>3</c:v>
                </c:pt>
                <c:pt idx="11">
                  <c:v>4.7142857142857144</c:v>
                </c:pt>
                <c:pt idx="12">
                  <c:v>10</c:v>
                </c:pt>
                <c:pt idx="13">
                  <c:v>5.666666666666667</c:v>
                </c:pt>
                <c:pt idx="14">
                  <c:v>5</c:v>
                </c:pt>
                <c:pt idx="15">
                  <c:v>3</c:v>
                </c:pt>
                <c:pt idx="16">
                  <c:v>5.333333333333333</c:v>
                </c:pt>
                <c:pt idx="17">
                  <c:v>5.833333333333333</c:v>
                </c:pt>
                <c:pt idx="18">
                  <c:v>5.8</c:v>
                </c:pt>
                <c:pt idx="19">
                  <c:v>5.2</c:v>
                </c:pt>
                <c:pt idx="20">
                  <c:v>4.5</c:v>
                </c:pt>
                <c:pt idx="21">
                  <c:v>6</c:v>
                </c:pt>
                <c:pt idx="22">
                  <c:v>6.5</c:v>
                </c:pt>
                <c:pt idx="23">
                  <c:v>4.166666666666667</c:v>
                </c:pt>
                <c:pt idx="24">
                  <c:v>3.6666666666666665</c:v>
                </c:pt>
                <c:pt idx="25">
                  <c:v>3.5</c:v>
                </c:pt>
                <c:pt idx="26">
                  <c:v>6</c:v>
                </c:pt>
                <c:pt idx="27">
                  <c:v>5.1428571428571432</c:v>
                </c:pt>
                <c:pt idx="28">
                  <c:v>4</c:v>
                </c:pt>
                <c:pt idx="29">
                  <c:v>3.5</c:v>
                </c:pt>
                <c:pt idx="30">
                  <c:v>5</c:v>
                </c:pt>
              </c:numCache>
            </c:numRef>
          </c:val>
          <c:smooth val="0"/>
          <c:extLst>
            <c:ext xmlns:c16="http://schemas.microsoft.com/office/drawing/2014/chart" uri="{C3380CC4-5D6E-409C-BE32-E72D297353CC}">
              <c16:uniqueId val="{00000003-AE71-4BFB-A0B5-C713B8AF77FF}"/>
            </c:ext>
          </c:extLst>
        </c:ser>
        <c:dLbls>
          <c:showLegendKey val="0"/>
          <c:showVal val="0"/>
          <c:showCatName val="0"/>
          <c:showSerName val="0"/>
          <c:showPercent val="0"/>
          <c:showBubbleSize val="0"/>
        </c:dLbls>
        <c:smooth val="0"/>
        <c:axId val="242177727"/>
        <c:axId val="1448338384"/>
      </c:lineChart>
      <c:catAx>
        <c:axId val="242177727"/>
        <c:scaling>
          <c:orientation val="minMax"/>
        </c:scaling>
        <c:delete val="1"/>
        <c:axPos val="b"/>
        <c:numFmt formatCode="General" sourceLinked="1"/>
        <c:majorTickMark val="none"/>
        <c:minorTickMark val="none"/>
        <c:tickLblPos val="nextTo"/>
        <c:crossAx val="1448338384"/>
        <c:crosses val="autoZero"/>
        <c:auto val="1"/>
        <c:lblAlgn val="ctr"/>
        <c:lblOffset val="100"/>
        <c:noMultiLvlLbl val="0"/>
      </c:catAx>
      <c:valAx>
        <c:axId val="1448338384"/>
        <c:scaling>
          <c:orientation val="minMax"/>
        </c:scaling>
        <c:delete val="1"/>
        <c:axPos val="l"/>
        <c:numFmt formatCode="0.0" sourceLinked="1"/>
        <c:majorTickMark val="none"/>
        <c:minorTickMark val="none"/>
        <c:tickLblPos val="nextTo"/>
        <c:crossAx val="24217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Performance Analysis.xlsx]Pivots!PivotTable7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0" tIns="0" rIns="0" bIns="0" anchor="ctr" anchorCtr="1"/>
            <a:lstStyle/>
            <a:p>
              <a:pPr>
                <a:defRPr sz="14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2.7777777777777779E-3"/>
          <c:y val="4.6296296296296294E-3"/>
          <c:w val="0.99722222222222223"/>
          <c:h val="0.82497895094920159"/>
        </c:manualLayout>
      </c:layout>
      <c:barChart>
        <c:barDir val="col"/>
        <c:grouping val="clustered"/>
        <c:varyColors val="0"/>
        <c:ser>
          <c:idx val="0"/>
          <c:order val="0"/>
          <c:tx>
            <c:strRef>
              <c:f>Pivots!$R$5</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0" tIns="0" rIns="0" bIns="0" anchor="ctr" anchorCtr="1"/>
              <a:lstStyle/>
              <a:p>
                <a:pPr>
                  <a:defRPr sz="14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Pivots!$Q$6:$Q$14</c:f>
              <c:strCache>
                <c:ptCount val="8"/>
                <c:pt idx="0">
                  <c:v>00 - 09</c:v>
                </c:pt>
                <c:pt idx="1">
                  <c:v>10 - 19</c:v>
                </c:pt>
                <c:pt idx="2">
                  <c:v>20 - 29</c:v>
                </c:pt>
                <c:pt idx="3">
                  <c:v>30 - 39</c:v>
                </c:pt>
                <c:pt idx="4">
                  <c:v>40 - 49</c:v>
                </c:pt>
                <c:pt idx="5">
                  <c:v>50 - 59</c:v>
                </c:pt>
                <c:pt idx="6">
                  <c:v>60 - 69</c:v>
                </c:pt>
                <c:pt idx="7">
                  <c:v>70 - 79</c:v>
                </c:pt>
              </c:strCache>
            </c:strRef>
          </c:cat>
          <c:val>
            <c:numRef>
              <c:f>Pivots!$R$6:$R$14</c:f>
              <c:numCache>
                <c:formatCode>General</c:formatCode>
                <c:ptCount val="8"/>
                <c:pt idx="0">
                  <c:v>64</c:v>
                </c:pt>
                <c:pt idx="1">
                  <c:v>74</c:v>
                </c:pt>
                <c:pt idx="2">
                  <c:v>54</c:v>
                </c:pt>
                <c:pt idx="3">
                  <c:v>73</c:v>
                </c:pt>
                <c:pt idx="4">
                  <c:v>62</c:v>
                </c:pt>
                <c:pt idx="5">
                  <c:v>53</c:v>
                </c:pt>
                <c:pt idx="6">
                  <c:v>62</c:v>
                </c:pt>
                <c:pt idx="7">
                  <c:v>52</c:v>
                </c:pt>
              </c:numCache>
            </c:numRef>
          </c:val>
          <c:extLst>
            <c:ext xmlns:c16="http://schemas.microsoft.com/office/drawing/2014/chart" uri="{C3380CC4-5D6E-409C-BE32-E72D297353CC}">
              <c16:uniqueId val="{00000001-A5CA-4A76-9B74-8A2CA602F4BC}"/>
            </c:ext>
          </c:extLst>
        </c:ser>
        <c:dLbls>
          <c:dLblPos val="outEnd"/>
          <c:showLegendKey val="0"/>
          <c:showVal val="1"/>
          <c:showCatName val="0"/>
          <c:showSerName val="0"/>
          <c:showPercent val="0"/>
          <c:showBubbleSize val="0"/>
        </c:dLbls>
        <c:gapWidth val="219"/>
        <c:overlap val="-27"/>
        <c:axId val="769578479"/>
        <c:axId val="1448264464"/>
      </c:barChart>
      <c:catAx>
        <c:axId val="7695784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448264464"/>
        <c:crosses val="autoZero"/>
        <c:auto val="1"/>
        <c:lblAlgn val="ctr"/>
        <c:lblOffset val="100"/>
        <c:noMultiLvlLbl val="0"/>
      </c:catAx>
      <c:valAx>
        <c:axId val="1448264464"/>
        <c:scaling>
          <c:orientation val="minMax"/>
        </c:scaling>
        <c:delete val="1"/>
        <c:axPos val="l"/>
        <c:numFmt formatCode="General" sourceLinked="1"/>
        <c:majorTickMark val="out"/>
        <c:minorTickMark val="none"/>
        <c:tickLblPos val="nextTo"/>
        <c:crossAx val="76957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Performance Analysis.xlsx]Pivots!PivotTable8</c:name>
    <c:fmtId val="8"/>
  </c:pivotSource>
  <c:chart>
    <c:autoTitleDeleted val="1"/>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clip" horzOverflow="clip" vert="horz" wrap="none" lIns="0" tIns="0" rIns="0" bIns="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1.1111111111111112E-2"/>
          <c:y val="1.3888888888888888E-2"/>
          <c:w val="0.98888888888888893"/>
          <c:h val="0.98148148148148151"/>
        </c:manualLayout>
      </c:layout>
      <c:barChart>
        <c:barDir val="bar"/>
        <c:grouping val="clustered"/>
        <c:varyColors val="0"/>
        <c:ser>
          <c:idx val="0"/>
          <c:order val="0"/>
          <c:tx>
            <c:strRef>
              <c:f>Pivots!$V$5</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clip" horzOverflow="clip" vert="horz" wrap="none" lIns="0" tIns="0" rIns="0" bIns="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Pivots!$U$6:$U$14</c:f>
              <c:strCache>
                <c:ptCount val="8"/>
                <c:pt idx="0">
                  <c:v>Renal</c:v>
                </c:pt>
                <c:pt idx="1">
                  <c:v>Neurology</c:v>
                </c:pt>
                <c:pt idx="2">
                  <c:v>Gastroenterology</c:v>
                </c:pt>
                <c:pt idx="3">
                  <c:v>Physiotherapy</c:v>
                </c:pt>
                <c:pt idx="4">
                  <c:v>Cardiology</c:v>
                </c:pt>
                <c:pt idx="5">
                  <c:v>Orthopedics</c:v>
                </c:pt>
                <c:pt idx="6">
                  <c:v>General Practice</c:v>
                </c:pt>
                <c:pt idx="7">
                  <c:v>None</c:v>
                </c:pt>
              </c:strCache>
            </c:strRef>
          </c:cat>
          <c:val>
            <c:numRef>
              <c:f>Pivots!$V$6:$V$14</c:f>
              <c:numCache>
                <c:formatCode>General</c:formatCode>
                <c:ptCount val="8"/>
                <c:pt idx="0">
                  <c:v>6</c:v>
                </c:pt>
                <c:pt idx="1">
                  <c:v>8</c:v>
                </c:pt>
                <c:pt idx="2">
                  <c:v>8</c:v>
                </c:pt>
                <c:pt idx="3">
                  <c:v>11</c:v>
                </c:pt>
                <c:pt idx="4">
                  <c:v>17</c:v>
                </c:pt>
                <c:pt idx="5">
                  <c:v>49</c:v>
                </c:pt>
                <c:pt idx="6">
                  <c:v>92</c:v>
                </c:pt>
                <c:pt idx="7">
                  <c:v>303</c:v>
                </c:pt>
              </c:numCache>
            </c:numRef>
          </c:val>
          <c:extLst>
            <c:ext xmlns:c16="http://schemas.microsoft.com/office/drawing/2014/chart" uri="{C3380CC4-5D6E-409C-BE32-E72D297353CC}">
              <c16:uniqueId val="{00000001-D818-4AD0-BC02-389DAA8156F5}"/>
            </c:ext>
          </c:extLst>
        </c:ser>
        <c:dLbls>
          <c:dLblPos val="outEnd"/>
          <c:showLegendKey val="0"/>
          <c:showVal val="1"/>
          <c:showCatName val="0"/>
          <c:showSerName val="0"/>
          <c:showPercent val="0"/>
          <c:showBubbleSize val="0"/>
        </c:dLbls>
        <c:gapWidth val="57"/>
        <c:axId val="637450895"/>
        <c:axId val="1448324464"/>
      </c:barChart>
      <c:catAx>
        <c:axId val="6374508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448324464"/>
        <c:crosses val="autoZero"/>
        <c:auto val="1"/>
        <c:lblAlgn val="ctr"/>
        <c:lblOffset val="100"/>
        <c:noMultiLvlLbl val="0"/>
      </c:catAx>
      <c:valAx>
        <c:axId val="1448324464"/>
        <c:scaling>
          <c:orientation val="minMax"/>
        </c:scaling>
        <c:delete val="1"/>
        <c:axPos val="b"/>
        <c:numFmt formatCode="General" sourceLinked="1"/>
        <c:majorTickMark val="out"/>
        <c:minorTickMark val="none"/>
        <c:tickLblPos val="nextTo"/>
        <c:crossAx val="63745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Performance Analysis.xlsx]Pivots!PivotTable9</c:name>
    <c:fmtId val="14"/>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lumMod val="50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lumMod val="50000"/>
            </a:schemeClr>
          </a:solidFill>
          <a:ln>
            <a:noFill/>
          </a:ln>
          <a:effectLst>
            <a:outerShdw blurRad="317500" algn="ctr" rotWithShape="0">
              <a:prstClr val="black">
                <a:alpha val="25000"/>
              </a:prstClr>
            </a:outerShdw>
          </a:effectLst>
        </c:spPr>
      </c:pivotFmt>
      <c:pivotFmt>
        <c:idx val="6"/>
        <c:spPr>
          <a:solidFill>
            <a:schemeClr val="accent1">
              <a:lumMod val="40000"/>
              <a:lumOff val="60000"/>
            </a:schemeClr>
          </a:solidFill>
          <a:ln>
            <a:noFill/>
          </a:ln>
          <a:effectLst>
            <a:outerShdw blurRad="317500" algn="ctr" rotWithShape="0">
              <a:prstClr val="black">
                <a:alpha val="25000"/>
              </a:prstClr>
            </a:outerShdw>
          </a:effectLst>
        </c:spPr>
      </c:pivotFmt>
    </c:pivotFmts>
    <c:plotArea>
      <c:layout/>
      <c:pieChart>
        <c:varyColors val="1"/>
        <c:ser>
          <c:idx val="0"/>
          <c:order val="0"/>
          <c:tx>
            <c:strRef>
              <c:f>Pivots!$Z$5</c:f>
              <c:strCache>
                <c:ptCount val="1"/>
                <c:pt idx="0">
                  <c:v>Total</c:v>
                </c:pt>
              </c:strCache>
            </c:strRef>
          </c:tx>
          <c:dPt>
            <c:idx val="0"/>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ED2-4A57-9A81-EEF0B223A75C}"/>
              </c:ext>
            </c:extLst>
          </c:dPt>
          <c:dPt>
            <c:idx val="1"/>
            <c:bubble3D val="0"/>
            <c:spPr>
              <a:solidFill>
                <a:schemeClr val="accent1">
                  <a:lumMod val="40000"/>
                  <a:lumOff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ED2-4A57-9A81-EEF0B223A75C}"/>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lumMod val="50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Pivots!$Y$6:$Y$8</c:f>
              <c:strCache>
                <c:ptCount val="2"/>
                <c:pt idx="0">
                  <c:v>Delay</c:v>
                </c:pt>
                <c:pt idx="1">
                  <c:v>On Time</c:v>
                </c:pt>
              </c:strCache>
            </c:strRef>
          </c:cat>
          <c:val>
            <c:numRef>
              <c:f>Pivots!$Z$6:$Z$8</c:f>
              <c:numCache>
                <c:formatCode>0.00%</c:formatCode>
                <c:ptCount val="2"/>
                <c:pt idx="0">
                  <c:v>0.62145748987854255</c:v>
                </c:pt>
                <c:pt idx="1">
                  <c:v>0.37854251012145751</c:v>
                </c:pt>
              </c:numCache>
            </c:numRef>
          </c:val>
          <c:extLst>
            <c:ext xmlns:c16="http://schemas.microsoft.com/office/drawing/2014/chart" uri="{C3380CC4-5D6E-409C-BE32-E72D297353CC}">
              <c16:uniqueId val="{00000005-B1DD-437A-AA50-611F8EA5A96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solidFill>
          <a:schemeClr val="lt1">
            <a:alpha val="78000"/>
          </a:schemeClr>
        </a:solidFill>
        <a:ln>
          <a:noFill/>
        </a:ln>
        <a:effectLst/>
      </c:spPr>
      <c:txPr>
        <a:bodyPr rot="0" spcFirstLastPara="1" vertOverflow="ellipsis" vert="horz" wrap="square" anchor="ctr" anchorCtr="1"/>
        <a:lstStyle/>
        <a:p>
          <a:pPr>
            <a:defRPr sz="14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Performance Analysis.xlsx]Pivots!PivotTable10</c:name>
    <c:fmtId val="21"/>
  </c:pivotSource>
  <c:chart>
    <c:autoTitleDeleted val="1"/>
    <c:pivotFmts>
      <c:pivotFmt>
        <c:idx val="0"/>
        <c:spPr>
          <a:solidFill>
            <a:schemeClr val="accent1"/>
          </a:solidFill>
          <a:ln w="19050">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19050">
            <a:noFill/>
          </a:ln>
          <a:effectLst/>
        </c:spPr>
      </c:pivotFmt>
      <c:pivotFmt>
        <c:idx val="2"/>
        <c:spPr>
          <a:solidFill>
            <a:schemeClr val="accent1">
              <a:lumMod val="40000"/>
              <a:lumOff val="60000"/>
            </a:schemeClr>
          </a:solidFill>
          <a:ln w="19050">
            <a:noFill/>
          </a:ln>
          <a:effectLst/>
        </c:spPr>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w="19050">
            <a:noFill/>
          </a:ln>
          <a:effectLst/>
        </c:spPr>
      </c:pivotFmt>
      <c:pivotFmt>
        <c:idx val="5"/>
        <c:spPr>
          <a:solidFill>
            <a:schemeClr val="accent1">
              <a:lumMod val="40000"/>
              <a:lumOff val="60000"/>
            </a:schemeClr>
          </a:solidFill>
          <a:ln w="19050">
            <a:no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accent1">
                      <a:lumMod val="50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lumMod val="50000"/>
            </a:schemeClr>
          </a:solidFill>
          <a:ln w="19050">
            <a:noFill/>
          </a:ln>
          <a:effectLst/>
        </c:spPr>
      </c:pivotFmt>
      <c:pivotFmt>
        <c:idx val="8"/>
        <c:spPr>
          <a:solidFill>
            <a:schemeClr val="accent1">
              <a:lumMod val="40000"/>
              <a:lumOff val="60000"/>
            </a:schemeClr>
          </a:solidFill>
          <a:ln w="19050">
            <a:noFill/>
          </a:ln>
          <a:effectLst/>
        </c:spPr>
      </c:pivotFmt>
    </c:pivotFmts>
    <c:plotArea>
      <c:layout/>
      <c:pieChart>
        <c:varyColors val="1"/>
        <c:ser>
          <c:idx val="0"/>
          <c:order val="0"/>
          <c:tx>
            <c:strRef>
              <c:f>Pivots!$AC$5</c:f>
              <c:strCache>
                <c:ptCount val="1"/>
                <c:pt idx="0">
                  <c:v>Total</c:v>
                </c:pt>
              </c:strCache>
            </c:strRef>
          </c:tx>
          <c:spPr>
            <a:ln>
              <a:noFill/>
            </a:ln>
          </c:spPr>
          <c:dPt>
            <c:idx val="0"/>
            <c:bubble3D val="0"/>
            <c:spPr>
              <a:solidFill>
                <a:schemeClr val="accent1">
                  <a:lumMod val="50000"/>
                </a:schemeClr>
              </a:solidFill>
              <a:ln w="19050">
                <a:noFill/>
              </a:ln>
              <a:effectLst/>
            </c:spPr>
            <c:extLst>
              <c:ext xmlns:c16="http://schemas.microsoft.com/office/drawing/2014/chart" uri="{C3380CC4-5D6E-409C-BE32-E72D297353CC}">
                <c16:uniqueId val="{00000001-72FC-4D5F-A245-3EAB097FB2CB}"/>
              </c:ext>
            </c:extLst>
          </c:dPt>
          <c:dPt>
            <c:idx val="1"/>
            <c:bubble3D val="0"/>
            <c:spPr>
              <a:solidFill>
                <a:schemeClr val="accent1">
                  <a:lumMod val="40000"/>
                  <a:lumOff val="60000"/>
                </a:schemeClr>
              </a:solidFill>
              <a:ln w="19050">
                <a:noFill/>
              </a:ln>
              <a:effectLst/>
            </c:spPr>
            <c:extLst>
              <c:ext xmlns:c16="http://schemas.microsoft.com/office/drawing/2014/chart" uri="{C3380CC4-5D6E-409C-BE32-E72D297353CC}">
                <c16:uniqueId val="{00000003-72FC-4D5F-A245-3EAB097FB2CB}"/>
              </c:ext>
            </c:extLst>
          </c:dPt>
          <c:dLbls>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accent1">
                        <a:lumMod val="50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Pivots!$AB$6:$AB$8</c:f>
              <c:strCache>
                <c:ptCount val="2"/>
                <c:pt idx="0">
                  <c:v>Female</c:v>
                </c:pt>
                <c:pt idx="1">
                  <c:v>Male</c:v>
                </c:pt>
              </c:strCache>
            </c:strRef>
          </c:cat>
          <c:val>
            <c:numRef>
              <c:f>Pivots!$AC$6:$AC$8</c:f>
              <c:numCache>
                <c:formatCode>0.00%</c:formatCode>
                <c:ptCount val="2"/>
                <c:pt idx="0">
                  <c:v>0.48785425101214575</c:v>
                </c:pt>
                <c:pt idx="1">
                  <c:v>0.51214574898785425</c:v>
                </c:pt>
              </c:numCache>
            </c:numRef>
          </c:val>
          <c:extLst>
            <c:ext xmlns:c16="http://schemas.microsoft.com/office/drawing/2014/chart" uri="{C3380CC4-5D6E-409C-BE32-E72D297353CC}">
              <c16:uniqueId val="{00000005-CEA8-45F5-9EBE-5288823D338F}"/>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Performance Analysis.xlsx]Pivots!PivotTable4</c:name>
    <c:fmtId val="28"/>
  </c:pivotSource>
  <c:chart>
    <c:autoTitleDeleted val="1"/>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Pivots!$F$5</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Pivots!$E$6:$E$39</c:f>
              <c:multiLvlStrCache>
                <c:ptCount val="31"/>
                <c:lvl>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lvl>
                <c:lvl>
                  <c:pt idx="0">
                    <c:v>Aug</c:v>
                  </c:pt>
                </c:lvl>
                <c:lvl>
                  <c:pt idx="0">
                    <c:v>2023</c:v>
                  </c:pt>
                </c:lvl>
              </c:multiLvlStrCache>
            </c:multiLvlStrRef>
          </c:cat>
          <c:val>
            <c:numRef>
              <c:f>Pivots!$F$6:$F$39</c:f>
              <c:numCache>
                <c:formatCode>General</c:formatCode>
                <c:ptCount val="31"/>
                <c:pt idx="0">
                  <c:v>14</c:v>
                </c:pt>
                <c:pt idx="1">
                  <c:v>15</c:v>
                </c:pt>
                <c:pt idx="2">
                  <c:v>17</c:v>
                </c:pt>
                <c:pt idx="3">
                  <c:v>12</c:v>
                </c:pt>
                <c:pt idx="4">
                  <c:v>23</c:v>
                </c:pt>
                <c:pt idx="5">
                  <c:v>10</c:v>
                </c:pt>
                <c:pt idx="6">
                  <c:v>18</c:v>
                </c:pt>
                <c:pt idx="7">
                  <c:v>11</c:v>
                </c:pt>
                <c:pt idx="8">
                  <c:v>12</c:v>
                </c:pt>
                <c:pt idx="9">
                  <c:v>24</c:v>
                </c:pt>
                <c:pt idx="10">
                  <c:v>16</c:v>
                </c:pt>
                <c:pt idx="11">
                  <c:v>21</c:v>
                </c:pt>
                <c:pt idx="12">
                  <c:v>16</c:v>
                </c:pt>
                <c:pt idx="13">
                  <c:v>15</c:v>
                </c:pt>
                <c:pt idx="14">
                  <c:v>14</c:v>
                </c:pt>
                <c:pt idx="15">
                  <c:v>18</c:v>
                </c:pt>
                <c:pt idx="16">
                  <c:v>12</c:v>
                </c:pt>
                <c:pt idx="17">
                  <c:v>18</c:v>
                </c:pt>
                <c:pt idx="18">
                  <c:v>16</c:v>
                </c:pt>
                <c:pt idx="19">
                  <c:v>22</c:v>
                </c:pt>
                <c:pt idx="20">
                  <c:v>16</c:v>
                </c:pt>
                <c:pt idx="21">
                  <c:v>10</c:v>
                </c:pt>
                <c:pt idx="22">
                  <c:v>18</c:v>
                </c:pt>
                <c:pt idx="23">
                  <c:v>13</c:v>
                </c:pt>
                <c:pt idx="24">
                  <c:v>20</c:v>
                </c:pt>
                <c:pt idx="25">
                  <c:v>17</c:v>
                </c:pt>
                <c:pt idx="26">
                  <c:v>19</c:v>
                </c:pt>
                <c:pt idx="27">
                  <c:v>17</c:v>
                </c:pt>
                <c:pt idx="28">
                  <c:v>22</c:v>
                </c:pt>
                <c:pt idx="29">
                  <c:v>9</c:v>
                </c:pt>
                <c:pt idx="30">
                  <c:v>9</c:v>
                </c:pt>
              </c:numCache>
            </c:numRef>
          </c:val>
          <c:smooth val="0"/>
          <c:extLst>
            <c:ext xmlns:c16="http://schemas.microsoft.com/office/drawing/2014/chart" uri="{C3380CC4-5D6E-409C-BE32-E72D297353CC}">
              <c16:uniqueId val="{00000000-D0CC-45D7-9EBB-11761F7585DF}"/>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32793791"/>
        <c:axId val="211161071"/>
      </c:lineChart>
      <c:catAx>
        <c:axId val="232793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spc="30" baseline="0">
                <a:solidFill>
                  <a:schemeClr val="lt1"/>
                </a:solidFill>
                <a:latin typeface="+mn-lt"/>
                <a:ea typeface="+mn-ea"/>
                <a:cs typeface="+mn-cs"/>
              </a:defRPr>
            </a:pPr>
            <a:endParaRPr lang="en-US"/>
          </a:p>
        </c:txPr>
        <c:crossAx val="211161071"/>
        <c:crosses val="autoZero"/>
        <c:auto val="1"/>
        <c:lblAlgn val="ctr"/>
        <c:lblOffset val="100"/>
        <c:noMultiLvlLbl val="0"/>
      </c:catAx>
      <c:valAx>
        <c:axId val="211161071"/>
        <c:scaling>
          <c:orientation val="minMax"/>
        </c:scaling>
        <c:delete val="1"/>
        <c:axPos val="l"/>
        <c:numFmt formatCode="General" sourceLinked="1"/>
        <c:majorTickMark val="none"/>
        <c:minorTickMark val="none"/>
        <c:tickLblPos val="nextTo"/>
        <c:crossAx val="232793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Performance Analysis.xlsx]Pivots!PivotTable5</c:name>
    <c:fmtId val="43"/>
  </c:pivotSource>
  <c:chart>
    <c:autoTitleDeleted val="1"/>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Pivots!$I$5</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Pivots!$H$6:$H$39</c:f>
              <c:multiLvlStrCache>
                <c:ptCount val="31"/>
                <c:lvl>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lvl>
                <c:lvl>
                  <c:pt idx="0">
                    <c:v>Aug</c:v>
                  </c:pt>
                </c:lvl>
                <c:lvl>
                  <c:pt idx="0">
                    <c:v>2023</c:v>
                  </c:pt>
                </c:lvl>
              </c:multiLvlStrCache>
            </c:multiLvlStrRef>
          </c:cat>
          <c:val>
            <c:numRef>
              <c:f>Pivots!$I$6:$I$39</c:f>
              <c:numCache>
                <c:formatCode>0</c:formatCode>
                <c:ptCount val="31"/>
                <c:pt idx="0">
                  <c:v>35.714285714285715</c:v>
                </c:pt>
                <c:pt idx="1">
                  <c:v>38.533333333333331</c:v>
                </c:pt>
                <c:pt idx="2">
                  <c:v>38.941176470588232</c:v>
                </c:pt>
                <c:pt idx="3">
                  <c:v>35.666666666666664</c:v>
                </c:pt>
                <c:pt idx="4">
                  <c:v>39.478260869565219</c:v>
                </c:pt>
                <c:pt idx="5">
                  <c:v>25.1</c:v>
                </c:pt>
                <c:pt idx="6">
                  <c:v>43.666666666666664</c:v>
                </c:pt>
                <c:pt idx="7">
                  <c:v>38.090909090909093</c:v>
                </c:pt>
                <c:pt idx="8">
                  <c:v>28.25</c:v>
                </c:pt>
                <c:pt idx="9">
                  <c:v>36.291666666666664</c:v>
                </c:pt>
                <c:pt idx="10">
                  <c:v>31.875</c:v>
                </c:pt>
                <c:pt idx="11">
                  <c:v>32.333333333333336</c:v>
                </c:pt>
                <c:pt idx="12">
                  <c:v>36.3125</c:v>
                </c:pt>
                <c:pt idx="13">
                  <c:v>41.133333333333333</c:v>
                </c:pt>
                <c:pt idx="14">
                  <c:v>32.071428571428569</c:v>
                </c:pt>
                <c:pt idx="15">
                  <c:v>34.222222222222221</c:v>
                </c:pt>
                <c:pt idx="16">
                  <c:v>43.666666666666664</c:v>
                </c:pt>
                <c:pt idx="17">
                  <c:v>38.5</c:v>
                </c:pt>
                <c:pt idx="18">
                  <c:v>32.6875</c:v>
                </c:pt>
                <c:pt idx="19">
                  <c:v>41.045454545454547</c:v>
                </c:pt>
                <c:pt idx="20">
                  <c:v>36.6875</c:v>
                </c:pt>
                <c:pt idx="21">
                  <c:v>38.5</c:v>
                </c:pt>
                <c:pt idx="22">
                  <c:v>33.777777777777779</c:v>
                </c:pt>
                <c:pt idx="23">
                  <c:v>41.692307692307693</c:v>
                </c:pt>
                <c:pt idx="24">
                  <c:v>31.7</c:v>
                </c:pt>
                <c:pt idx="25">
                  <c:v>36.470588235294116</c:v>
                </c:pt>
                <c:pt idx="26">
                  <c:v>37.210526315789473</c:v>
                </c:pt>
                <c:pt idx="27">
                  <c:v>36.294117647058826</c:v>
                </c:pt>
                <c:pt idx="28">
                  <c:v>32</c:v>
                </c:pt>
                <c:pt idx="29">
                  <c:v>41.444444444444443</c:v>
                </c:pt>
                <c:pt idx="30">
                  <c:v>40.444444444444443</c:v>
                </c:pt>
              </c:numCache>
            </c:numRef>
          </c:val>
          <c:smooth val="0"/>
          <c:extLst>
            <c:ext xmlns:c16="http://schemas.microsoft.com/office/drawing/2014/chart" uri="{C3380CC4-5D6E-409C-BE32-E72D297353CC}">
              <c16:uniqueId val="{00000000-68E9-4D97-B1FA-25C67816E6C8}"/>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35672127"/>
        <c:axId val="1448250064"/>
      </c:lineChart>
      <c:catAx>
        <c:axId val="235672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spc="30" baseline="0">
                <a:solidFill>
                  <a:schemeClr val="lt1"/>
                </a:solidFill>
                <a:latin typeface="+mn-lt"/>
                <a:ea typeface="+mn-ea"/>
                <a:cs typeface="+mn-cs"/>
              </a:defRPr>
            </a:pPr>
            <a:endParaRPr lang="en-US"/>
          </a:p>
        </c:txPr>
        <c:crossAx val="1448250064"/>
        <c:crosses val="autoZero"/>
        <c:auto val="1"/>
        <c:lblAlgn val="ctr"/>
        <c:lblOffset val="100"/>
        <c:noMultiLvlLbl val="0"/>
      </c:catAx>
      <c:valAx>
        <c:axId val="1448250064"/>
        <c:scaling>
          <c:orientation val="minMax"/>
        </c:scaling>
        <c:delete val="1"/>
        <c:axPos val="l"/>
        <c:numFmt formatCode="0" sourceLinked="1"/>
        <c:majorTickMark val="none"/>
        <c:minorTickMark val="none"/>
        <c:tickLblPos val="nextTo"/>
        <c:crossAx val="235672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Performance Analysis.xlsx]Pivots!PivotTable6</c:name>
    <c:fmtId val="23"/>
  </c:pivotSource>
  <c:chart>
    <c:autoTitleDeleted val="1"/>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Pivots!$L$5</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Pivots!$K$6:$K$39</c:f>
              <c:multiLvlStrCache>
                <c:ptCount val="31"/>
                <c:lvl>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lvl>
                <c:lvl>
                  <c:pt idx="0">
                    <c:v>Aug</c:v>
                  </c:pt>
                </c:lvl>
                <c:lvl>
                  <c:pt idx="0">
                    <c:v>2023</c:v>
                  </c:pt>
                </c:lvl>
              </c:multiLvlStrCache>
            </c:multiLvlStrRef>
          </c:cat>
          <c:val>
            <c:numRef>
              <c:f>Pivots!$L$6:$L$39</c:f>
              <c:numCache>
                <c:formatCode>0.0</c:formatCode>
                <c:ptCount val="31"/>
                <c:pt idx="0">
                  <c:v>8</c:v>
                </c:pt>
                <c:pt idx="1">
                  <c:v>4</c:v>
                </c:pt>
                <c:pt idx="2">
                  <c:v>5.333333333333333</c:v>
                </c:pt>
                <c:pt idx="3">
                  <c:v>4.666666666666667</c:v>
                </c:pt>
                <c:pt idx="4">
                  <c:v>6.2</c:v>
                </c:pt>
                <c:pt idx="5">
                  <c:v>6.333333333333333</c:v>
                </c:pt>
                <c:pt idx="6">
                  <c:v>9.5</c:v>
                </c:pt>
                <c:pt idx="7">
                  <c:v>2</c:v>
                </c:pt>
                <c:pt idx="8">
                  <c:v>6.666666666666667</c:v>
                </c:pt>
                <c:pt idx="9">
                  <c:v>2.25</c:v>
                </c:pt>
                <c:pt idx="10">
                  <c:v>3</c:v>
                </c:pt>
                <c:pt idx="11">
                  <c:v>4.7142857142857144</c:v>
                </c:pt>
                <c:pt idx="12">
                  <c:v>10</c:v>
                </c:pt>
                <c:pt idx="13">
                  <c:v>5.666666666666667</c:v>
                </c:pt>
                <c:pt idx="14">
                  <c:v>5</c:v>
                </c:pt>
                <c:pt idx="15">
                  <c:v>3</c:v>
                </c:pt>
                <c:pt idx="16">
                  <c:v>5.333333333333333</c:v>
                </c:pt>
                <c:pt idx="17">
                  <c:v>5.833333333333333</c:v>
                </c:pt>
                <c:pt idx="18">
                  <c:v>5.8</c:v>
                </c:pt>
                <c:pt idx="19">
                  <c:v>5.2</c:v>
                </c:pt>
                <c:pt idx="20">
                  <c:v>4.5</c:v>
                </c:pt>
                <c:pt idx="21">
                  <c:v>6</c:v>
                </c:pt>
                <c:pt idx="22">
                  <c:v>6.5</c:v>
                </c:pt>
                <c:pt idx="23">
                  <c:v>4.166666666666667</c:v>
                </c:pt>
                <c:pt idx="24">
                  <c:v>3.6666666666666665</c:v>
                </c:pt>
                <c:pt idx="25">
                  <c:v>3.5</c:v>
                </c:pt>
                <c:pt idx="26">
                  <c:v>6</c:v>
                </c:pt>
                <c:pt idx="27">
                  <c:v>5.1428571428571432</c:v>
                </c:pt>
                <c:pt idx="28">
                  <c:v>4</c:v>
                </c:pt>
                <c:pt idx="29">
                  <c:v>3.5</c:v>
                </c:pt>
                <c:pt idx="30">
                  <c:v>5</c:v>
                </c:pt>
              </c:numCache>
            </c:numRef>
          </c:val>
          <c:smooth val="0"/>
          <c:extLst>
            <c:ext xmlns:c16="http://schemas.microsoft.com/office/drawing/2014/chart" uri="{C3380CC4-5D6E-409C-BE32-E72D297353CC}">
              <c16:uniqueId val="{00000000-6FED-44F6-80EA-AC6C54A9E886}"/>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17168895"/>
        <c:axId val="211090031"/>
      </c:lineChart>
      <c:catAx>
        <c:axId val="117168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spc="30" baseline="0">
                <a:solidFill>
                  <a:schemeClr val="lt1"/>
                </a:solidFill>
                <a:latin typeface="+mn-lt"/>
                <a:ea typeface="+mn-ea"/>
                <a:cs typeface="+mn-cs"/>
              </a:defRPr>
            </a:pPr>
            <a:endParaRPr lang="en-US"/>
          </a:p>
        </c:txPr>
        <c:crossAx val="211090031"/>
        <c:crosses val="autoZero"/>
        <c:auto val="1"/>
        <c:lblAlgn val="ctr"/>
        <c:lblOffset val="100"/>
        <c:noMultiLvlLbl val="0"/>
      </c:catAx>
      <c:valAx>
        <c:axId val="211090031"/>
        <c:scaling>
          <c:orientation val="minMax"/>
        </c:scaling>
        <c:delete val="1"/>
        <c:axPos val="l"/>
        <c:numFmt formatCode="0.0" sourceLinked="1"/>
        <c:majorTickMark val="none"/>
        <c:minorTickMark val="none"/>
        <c:tickLblPos val="nextTo"/>
        <c:crossAx val="117168895"/>
        <c:crosses val="autoZero"/>
        <c:crossBetween val="between"/>
      </c:valAx>
      <c:spPr>
        <a:solidFill>
          <a:schemeClr val="accent1">
            <a:lumMod val="5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Performance Analysis.xlsx]Pivots!PivotTable16</c:name>
    <c:fmtId val="46"/>
  </c:pivotSource>
  <c:chart>
    <c:autoTitleDeleted val="1"/>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0.99878493189232731"/>
        </c:manualLayout>
      </c:layout>
      <c:barChart>
        <c:barDir val="bar"/>
        <c:grouping val="clustered"/>
        <c:varyColors val="0"/>
        <c:ser>
          <c:idx val="0"/>
          <c:order val="0"/>
          <c:tx>
            <c:strRef>
              <c:f>Pivots!$AP$5</c:f>
              <c:strCache>
                <c:ptCount val="1"/>
                <c:pt idx="0">
                  <c:v>Total</c:v>
                </c:pt>
              </c:strCache>
            </c:strRef>
          </c:tx>
          <c:spPr>
            <a:solidFill>
              <a:schemeClr val="accent1">
                <a:lumMod val="50000"/>
              </a:schemeClr>
            </a:solidFill>
            <a:ln>
              <a:noFill/>
            </a:ln>
            <a:effectLst/>
          </c:spPr>
          <c:invertIfNegative val="0"/>
          <c:cat>
            <c:strRef>
              <c:f>Pivots!$AO$6:$AO$8</c:f>
              <c:strCache>
                <c:ptCount val="2"/>
                <c:pt idx="0">
                  <c:v>Admitted</c:v>
                </c:pt>
                <c:pt idx="1">
                  <c:v>Not Admitted</c:v>
                </c:pt>
              </c:strCache>
            </c:strRef>
          </c:cat>
          <c:val>
            <c:numRef>
              <c:f>Pivots!$AP$6:$AP$8</c:f>
              <c:numCache>
                <c:formatCode>General</c:formatCode>
                <c:ptCount val="2"/>
                <c:pt idx="0">
                  <c:v>234</c:v>
                </c:pt>
                <c:pt idx="1">
                  <c:v>260</c:v>
                </c:pt>
              </c:numCache>
            </c:numRef>
          </c:val>
          <c:extLst>
            <c:ext xmlns:c16="http://schemas.microsoft.com/office/drawing/2014/chart" uri="{C3380CC4-5D6E-409C-BE32-E72D297353CC}">
              <c16:uniqueId val="{00000000-7B64-490E-9CB5-FB105F4A6574}"/>
            </c:ext>
          </c:extLst>
        </c:ser>
        <c:dLbls>
          <c:showLegendKey val="0"/>
          <c:showVal val="0"/>
          <c:showCatName val="0"/>
          <c:showSerName val="0"/>
          <c:showPercent val="0"/>
          <c:showBubbleSize val="0"/>
        </c:dLbls>
        <c:gapWidth val="182"/>
        <c:axId val="232846223"/>
        <c:axId val="1448277424"/>
      </c:barChart>
      <c:catAx>
        <c:axId val="232846223"/>
        <c:scaling>
          <c:orientation val="minMax"/>
        </c:scaling>
        <c:delete val="1"/>
        <c:axPos val="l"/>
        <c:numFmt formatCode="General" sourceLinked="1"/>
        <c:majorTickMark val="none"/>
        <c:minorTickMark val="none"/>
        <c:tickLblPos val="nextTo"/>
        <c:crossAx val="1448277424"/>
        <c:crosses val="autoZero"/>
        <c:auto val="1"/>
        <c:lblAlgn val="ctr"/>
        <c:lblOffset val="100"/>
        <c:noMultiLvlLbl val="0"/>
      </c:catAx>
      <c:valAx>
        <c:axId val="1448277424"/>
        <c:scaling>
          <c:orientation val="minMax"/>
        </c:scaling>
        <c:delete val="1"/>
        <c:axPos val="b"/>
        <c:numFmt formatCode="General" sourceLinked="1"/>
        <c:majorTickMark val="none"/>
        <c:minorTickMark val="none"/>
        <c:tickLblPos val="nextTo"/>
        <c:crossAx val="232846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image" Target="../media/image3.emf"/><Relationship Id="rId3" Type="http://schemas.openxmlformats.org/officeDocument/2006/relationships/hyperlink" Target="#'Patient Satisfaction Trend'!A1"/><Relationship Id="rId7" Type="http://schemas.openxmlformats.org/officeDocument/2006/relationships/chart" Target="../charts/chart2.xml"/><Relationship Id="rId12" Type="http://schemas.openxmlformats.org/officeDocument/2006/relationships/chart" Target="../charts/chart7.xml"/><Relationship Id="rId2" Type="http://schemas.openxmlformats.org/officeDocument/2006/relationships/hyperlink" Target="#'Patient Wait Time Trend'!A1"/><Relationship Id="rId1" Type="http://schemas.openxmlformats.org/officeDocument/2006/relationships/hyperlink" Target="#'Patient Trend'!A1"/><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2.svg"/><Relationship Id="rId10" Type="http://schemas.openxmlformats.org/officeDocument/2006/relationships/chart" Target="../charts/chart5.xml"/><Relationship Id="rId4" Type="http://schemas.openxmlformats.org/officeDocument/2006/relationships/image" Target="../media/image1.png"/><Relationship Id="rId9"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6.svg"/><Relationship Id="rId2" Type="http://schemas.openxmlformats.org/officeDocument/2006/relationships/image" Target="../media/image5.png"/><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image" Target="../media/image6.svg"/><Relationship Id="rId2" Type="http://schemas.openxmlformats.org/officeDocument/2006/relationships/image" Target="../media/image5.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6.svg"/></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590550</xdr:colOff>
      <xdr:row>1</xdr:row>
      <xdr:rowOff>19049</xdr:rowOff>
    </xdr:from>
    <xdr:to>
      <xdr:col>13</xdr:col>
      <xdr:colOff>485775</xdr:colOff>
      <xdr:row>7</xdr:row>
      <xdr:rowOff>9524</xdr:rowOff>
    </xdr:to>
    <xdr:sp macro="" textlink="">
      <xdr:nvSpPr>
        <xdr:cNvPr id="2" name="Rectangle: Rounded Corners 1">
          <a:extLst>
            <a:ext uri="{FF2B5EF4-FFF2-40B4-BE49-F238E27FC236}">
              <a16:creationId xmlns:a16="http://schemas.microsoft.com/office/drawing/2014/main" id="{1434380F-0CB4-45E4-A5C2-3B224358D45F}"/>
            </a:ext>
          </a:extLst>
        </xdr:cNvPr>
        <xdr:cNvSpPr/>
      </xdr:nvSpPr>
      <xdr:spPr>
        <a:xfrm>
          <a:off x="590550" y="209549"/>
          <a:ext cx="7820025" cy="1133475"/>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t"/>
        <a:lstStyle/>
        <a:p>
          <a:pPr algn="ctr"/>
          <a:r>
            <a:rPr lang="en-IN" sz="3200" b="1">
              <a:solidFill>
                <a:schemeClr val="accent1">
                  <a:lumMod val="50000"/>
                </a:schemeClr>
              </a:solidFill>
              <a:latin typeface="+mn-lt"/>
            </a:rPr>
            <a:t>       Emergency Room Performance</a:t>
          </a:r>
        </a:p>
      </xdr:txBody>
    </xdr:sp>
    <xdr:clientData/>
  </xdr:twoCellAnchor>
  <xdr:twoCellAnchor>
    <xdr:from>
      <xdr:col>0</xdr:col>
      <xdr:colOff>590550</xdr:colOff>
      <xdr:row>7</xdr:row>
      <xdr:rowOff>152401</xdr:rowOff>
    </xdr:from>
    <xdr:to>
      <xdr:col>3</xdr:col>
      <xdr:colOff>95249</xdr:colOff>
      <xdr:row>36</xdr:row>
      <xdr:rowOff>161925</xdr:rowOff>
    </xdr:to>
    <xdr:sp macro="" textlink="">
      <xdr:nvSpPr>
        <xdr:cNvPr id="3" name="Rectangle: Rounded Corners 2">
          <a:extLst>
            <a:ext uri="{FF2B5EF4-FFF2-40B4-BE49-F238E27FC236}">
              <a16:creationId xmlns:a16="http://schemas.microsoft.com/office/drawing/2014/main" id="{5A24E96E-B38C-3C88-6231-4D12CE4EE716}"/>
            </a:ext>
          </a:extLst>
        </xdr:cNvPr>
        <xdr:cNvSpPr/>
      </xdr:nvSpPr>
      <xdr:spPr>
        <a:xfrm>
          <a:off x="590550" y="1485901"/>
          <a:ext cx="1333499" cy="5534024"/>
        </a:xfrm>
        <a:prstGeom prst="roundRect">
          <a:avLst>
            <a:gd name="adj" fmla="val 8096"/>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t"/>
        <a:lstStyle/>
        <a:p>
          <a:pPr algn="l"/>
          <a:endParaRPr lang="en-IN" sz="1100"/>
        </a:p>
      </xdr:txBody>
    </xdr:sp>
    <xdr:clientData/>
  </xdr:twoCellAnchor>
  <xdr:twoCellAnchor>
    <xdr:from>
      <xdr:col>3</xdr:col>
      <xdr:colOff>219075</xdr:colOff>
      <xdr:row>22</xdr:row>
      <xdr:rowOff>66675</xdr:rowOff>
    </xdr:from>
    <xdr:to>
      <xdr:col>13</xdr:col>
      <xdr:colOff>514350</xdr:colOff>
      <xdr:row>36</xdr:row>
      <xdr:rowOff>171450</xdr:rowOff>
    </xdr:to>
    <xdr:sp macro="" textlink="">
      <xdr:nvSpPr>
        <xdr:cNvPr id="9" name="Rectangle: Rounded Corners 8">
          <a:extLst>
            <a:ext uri="{FF2B5EF4-FFF2-40B4-BE49-F238E27FC236}">
              <a16:creationId xmlns:a16="http://schemas.microsoft.com/office/drawing/2014/main" id="{23F7D93D-A015-3549-0CAB-D83D97388FF3}"/>
            </a:ext>
          </a:extLst>
        </xdr:cNvPr>
        <xdr:cNvSpPr/>
      </xdr:nvSpPr>
      <xdr:spPr>
        <a:xfrm>
          <a:off x="2047875" y="4257675"/>
          <a:ext cx="6391275" cy="2771775"/>
        </a:xfrm>
        <a:prstGeom prst="roundRect">
          <a:avLst>
            <a:gd name="adj" fmla="val 6705"/>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t"/>
        <a:lstStyle/>
        <a:p>
          <a:pPr algn="l"/>
          <a:endParaRPr lang="en-IN" sz="1100"/>
        </a:p>
      </xdr:txBody>
    </xdr:sp>
    <xdr:clientData/>
  </xdr:twoCellAnchor>
  <xdr:twoCellAnchor>
    <xdr:from>
      <xdr:col>3</xdr:col>
      <xdr:colOff>228600</xdr:colOff>
      <xdr:row>7</xdr:row>
      <xdr:rowOff>171451</xdr:rowOff>
    </xdr:from>
    <xdr:to>
      <xdr:col>6</xdr:col>
      <xdr:colOff>410502</xdr:colOff>
      <xdr:row>14</xdr:row>
      <xdr:rowOff>85725</xdr:rowOff>
    </xdr:to>
    <xdr:sp macro="" textlink="Pivots!B6">
      <xdr:nvSpPr>
        <xdr:cNvPr id="5" name="Rectangle: Rounded Corners 4">
          <a:hlinkClick xmlns:r="http://schemas.openxmlformats.org/officeDocument/2006/relationships" r:id="rId1"/>
          <a:extLst>
            <a:ext uri="{FF2B5EF4-FFF2-40B4-BE49-F238E27FC236}">
              <a16:creationId xmlns:a16="http://schemas.microsoft.com/office/drawing/2014/main" id="{36683F11-E487-7FC2-ACFF-845B0FDBDA41}"/>
            </a:ext>
          </a:extLst>
        </xdr:cNvPr>
        <xdr:cNvSpPr/>
      </xdr:nvSpPr>
      <xdr:spPr>
        <a:xfrm>
          <a:off x="2057400" y="1504951"/>
          <a:ext cx="2010702" cy="124777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t"/>
        <a:lstStyle/>
        <a:p>
          <a:pPr algn="ctr"/>
          <a:fld id="{73817D0B-EC0B-44AE-A709-74E71A6C3EAA}" type="TxLink">
            <a:rPr lang="en-US" sz="3000" b="1" i="0" u="none" strike="noStrike">
              <a:solidFill>
                <a:schemeClr val="accent1">
                  <a:lumMod val="50000"/>
                </a:schemeClr>
              </a:solidFill>
              <a:latin typeface="Cambria" panose="02040503050406030204" pitchFamily="18" charset="0"/>
              <a:ea typeface="Cambria" panose="02040503050406030204" pitchFamily="18" charset="0"/>
              <a:cs typeface="Calibri"/>
            </a:rPr>
            <a:pPr algn="ctr"/>
            <a:t>494</a:t>
          </a:fld>
          <a:endParaRPr lang="en-IN" sz="3000" b="1">
            <a:solidFill>
              <a:schemeClr val="accent1">
                <a:lumMod val="50000"/>
              </a:schemeClr>
            </a:solidFill>
            <a:latin typeface="Cambria" panose="02040503050406030204" pitchFamily="18" charset="0"/>
            <a:ea typeface="Cambria" panose="02040503050406030204" pitchFamily="18" charset="0"/>
          </a:endParaRPr>
        </a:p>
      </xdr:txBody>
    </xdr:sp>
    <xdr:clientData/>
  </xdr:twoCellAnchor>
  <xdr:twoCellAnchor>
    <xdr:from>
      <xdr:col>6</xdr:col>
      <xdr:colOff>580561</xdr:colOff>
      <xdr:row>7</xdr:row>
      <xdr:rowOff>161926</xdr:rowOff>
    </xdr:from>
    <xdr:to>
      <xdr:col>10</xdr:col>
      <xdr:colOff>152863</xdr:colOff>
      <xdr:row>14</xdr:row>
      <xdr:rowOff>76200</xdr:rowOff>
    </xdr:to>
    <xdr:sp macro="" textlink="Pivots!B10">
      <xdr:nvSpPr>
        <xdr:cNvPr id="19" name="Rectangle: Rounded Corners 18">
          <a:hlinkClick xmlns:r="http://schemas.openxmlformats.org/officeDocument/2006/relationships" r:id="rId2"/>
          <a:extLst>
            <a:ext uri="{FF2B5EF4-FFF2-40B4-BE49-F238E27FC236}">
              <a16:creationId xmlns:a16="http://schemas.microsoft.com/office/drawing/2014/main" id="{602C435F-F5DB-3701-7C8F-563F724DA21A}"/>
            </a:ext>
          </a:extLst>
        </xdr:cNvPr>
        <xdr:cNvSpPr/>
      </xdr:nvSpPr>
      <xdr:spPr>
        <a:xfrm>
          <a:off x="4238161" y="1495426"/>
          <a:ext cx="2010702" cy="124777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t"/>
        <a:lstStyle/>
        <a:p>
          <a:pPr algn="ctr"/>
          <a:fld id="{E1F81D3D-EDE9-4CF5-834B-B474938513CD}" type="TxLink">
            <a:rPr lang="en-US" sz="3000" b="1" i="0" u="none" strike="noStrike">
              <a:solidFill>
                <a:schemeClr val="accent1">
                  <a:lumMod val="50000"/>
                </a:schemeClr>
              </a:solidFill>
              <a:latin typeface="Cambria" panose="02040503050406030204" pitchFamily="18" charset="0"/>
              <a:ea typeface="Cambria" panose="02040503050406030204" pitchFamily="18" charset="0"/>
              <a:cs typeface="Calibri"/>
            </a:rPr>
            <a:pPr algn="ctr"/>
            <a:t>36</a:t>
          </a:fld>
          <a:endParaRPr lang="en-IN" sz="3000" b="1">
            <a:solidFill>
              <a:schemeClr val="accent1">
                <a:lumMod val="50000"/>
              </a:schemeClr>
            </a:solidFill>
            <a:latin typeface="Cambria" panose="02040503050406030204" pitchFamily="18" charset="0"/>
            <a:ea typeface="Cambria" panose="02040503050406030204" pitchFamily="18" charset="0"/>
          </a:endParaRPr>
        </a:p>
      </xdr:txBody>
    </xdr:sp>
    <xdr:clientData/>
  </xdr:twoCellAnchor>
  <xdr:twoCellAnchor>
    <xdr:from>
      <xdr:col>10</xdr:col>
      <xdr:colOff>322923</xdr:colOff>
      <xdr:row>7</xdr:row>
      <xdr:rowOff>171451</xdr:rowOff>
    </xdr:from>
    <xdr:to>
      <xdr:col>13</xdr:col>
      <xdr:colOff>504825</xdr:colOff>
      <xdr:row>14</xdr:row>
      <xdr:rowOff>85725</xdr:rowOff>
    </xdr:to>
    <xdr:sp macro="" textlink="Pivots!B13">
      <xdr:nvSpPr>
        <xdr:cNvPr id="20" name="Rectangle: Rounded Corners 19">
          <a:hlinkClick xmlns:r="http://schemas.openxmlformats.org/officeDocument/2006/relationships" r:id="rId3"/>
          <a:extLst>
            <a:ext uri="{FF2B5EF4-FFF2-40B4-BE49-F238E27FC236}">
              <a16:creationId xmlns:a16="http://schemas.microsoft.com/office/drawing/2014/main" id="{5DD76042-D8C3-B78D-93C8-A076F53CCB16}"/>
            </a:ext>
          </a:extLst>
        </xdr:cNvPr>
        <xdr:cNvSpPr/>
      </xdr:nvSpPr>
      <xdr:spPr>
        <a:xfrm>
          <a:off x="6418923" y="1504951"/>
          <a:ext cx="2010702" cy="124777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t"/>
        <a:lstStyle/>
        <a:p>
          <a:pPr algn="ctr"/>
          <a:fld id="{64210DF0-871D-40C7-B8AA-BBE6B621E654}" type="TxLink">
            <a:rPr lang="en-US" sz="3000" b="1" i="0" u="none" strike="noStrike">
              <a:solidFill>
                <a:schemeClr val="accent1">
                  <a:lumMod val="50000"/>
                </a:schemeClr>
              </a:solidFill>
              <a:latin typeface="Cambria" panose="02040503050406030204" pitchFamily="18" charset="0"/>
              <a:ea typeface="Cambria" panose="02040503050406030204" pitchFamily="18" charset="0"/>
              <a:cs typeface="Calibri"/>
            </a:rPr>
            <a:pPr algn="ctr"/>
            <a:t>5.06</a:t>
          </a:fld>
          <a:r>
            <a:rPr lang="en-US" sz="3000" b="1" i="0" u="none" strike="noStrike">
              <a:solidFill>
                <a:schemeClr val="accent1">
                  <a:lumMod val="50000"/>
                </a:schemeClr>
              </a:solidFill>
              <a:latin typeface="Cambria" panose="02040503050406030204" pitchFamily="18" charset="0"/>
              <a:ea typeface="Cambria" panose="02040503050406030204" pitchFamily="18" charset="0"/>
              <a:cs typeface="Calibri"/>
            </a:rPr>
            <a:t> / 10</a:t>
          </a:r>
          <a:endParaRPr lang="en-IN" sz="3000" b="1">
            <a:solidFill>
              <a:schemeClr val="accent1">
                <a:lumMod val="50000"/>
              </a:schemeClr>
            </a:solidFill>
            <a:latin typeface="Cambria" panose="02040503050406030204" pitchFamily="18" charset="0"/>
            <a:ea typeface="Cambria" panose="02040503050406030204" pitchFamily="18" charset="0"/>
          </a:endParaRPr>
        </a:p>
      </xdr:txBody>
    </xdr:sp>
    <xdr:clientData/>
  </xdr:twoCellAnchor>
  <xdr:twoCellAnchor>
    <xdr:from>
      <xdr:col>14</xdr:col>
      <xdr:colOff>38100</xdr:colOff>
      <xdr:row>1</xdr:row>
      <xdr:rowOff>28575</xdr:rowOff>
    </xdr:from>
    <xdr:to>
      <xdr:col>18</xdr:col>
      <xdr:colOff>291956</xdr:colOff>
      <xdr:row>16</xdr:row>
      <xdr:rowOff>85725</xdr:rowOff>
    </xdr:to>
    <xdr:sp macro="" textlink="">
      <xdr:nvSpPr>
        <xdr:cNvPr id="22" name="Rectangle: Rounded Corners 21">
          <a:extLst>
            <a:ext uri="{FF2B5EF4-FFF2-40B4-BE49-F238E27FC236}">
              <a16:creationId xmlns:a16="http://schemas.microsoft.com/office/drawing/2014/main" id="{3842C53F-0B65-B865-F0C7-75965ED8D777}"/>
            </a:ext>
          </a:extLst>
        </xdr:cNvPr>
        <xdr:cNvSpPr/>
      </xdr:nvSpPr>
      <xdr:spPr>
        <a:xfrm>
          <a:off x="8572500" y="219075"/>
          <a:ext cx="2692256" cy="2914650"/>
        </a:xfrm>
        <a:prstGeom prst="roundRect">
          <a:avLst>
            <a:gd name="adj" fmla="val 5383"/>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t"/>
        <a:lstStyle/>
        <a:p>
          <a:pPr algn="l"/>
          <a:endParaRPr lang="en-IN" sz="1100"/>
        </a:p>
      </xdr:txBody>
    </xdr:sp>
    <xdr:clientData/>
  </xdr:twoCellAnchor>
  <xdr:twoCellAnchor>
    <xdr:from>
      <xdr:col>18</xdr:col>
      <xdr:colOff>470044</xdr:colOff>
      <xdr:row>1</xdr:row>
      <xdr:rowOff>38100</xdr:rowOff>
    </xdr:from>
    <xdr:to>
      <xdr:col>23</xdr:col>
      <xdr:colOff>114300</xdr:colOff>
      <xdr:row>16</xdr:row>
      <xdr:rowOff>95250</xdr:rowOff>
    </xdr:to>
    <xdr:sp macro="" textlink="">
      <xdr:nvSpPr>
        <xdr:cNvPr id="23" name="Rectangle: Rounded Corners 22">
          <a:extLst>
            <a:ext uri="{FF2B5EF4-FFF2-40B4-BE49-F238E27FC236}">
              <a16:creationId xmlns:a16="http://schemas.microsoft.com/office/drawing/2014/main" id="{39B13F47-487A-9D8A-E1D9-4AD177560192}"/>
            </a:ext>
          </a:extLst>
        </xdr:cNvPr>
        <xdr:cNvSpPr/>
      </xdr:nvSpPr>
      <xdr:spPr>
        <a:xfrm>
          <a:off x="11442844" y="228600"/>
          <a:ext cx="2692256" cy="2914650"/>
        </a:xfrm>
        <a:prstGeom prst="roundRect">
          <a:avLst>
            <a:gd name="adj" fmla="val 5383"/>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t"/>
        <a:lstStyle/>
        <a:p>
          <a:pPr algn="l"/>
          <a:endParaRPr lang="en-IN" sz="1100"/>
        </a:p>
      </xdr:txBody>
    </xdr:sp>
    <xdr:clientData/>
  </xdr:twoCellAnchor>
  <xdr:twoCellAnchor>
    <xdr:from>
      <xdr:col>14</xdr:col>
      <xdr:colOff>47625</xdr:colOff>
      <xdr:row>17</xdr:row>
      <xdr:rowOff>76200</xdr:rowOff>
    </xdr:from>
    <xdr:to>
      <xdr:col>23</xdr:col>
      <xdr:colOff>123825</xdr:colOff>
      <xdr:row>36</xdr:row>
      <xdr:rowOff>171450</xdr:rowOff>
    </xdr:to>
    <xdr:sp macro="" textlink="">
      <xdr:nvSpPr>
        <xdr:cNvPr id="25" name="Rectangle: Rounded Corners 24">
          <a:extLst>
            <a:ext uri="{FF2B5EF4-FFF2-40B4-BE49-F238E27FC236}">
              <a16:creationId xmlns:a16="http://schemas.microsoft.com/office/drawing/2014/main" id="{C75E2027-C58F-B4F7-C5B3-778ADD27A691}"/>
            </a:ext>
          </a:extLst>
        </xdr:cNvPr>
        <xdr:cNvSpPr/>
      </xdr:nvSpPr>
      <xdr:spPr>
        <a:xfrm>
          <a:off x="8582025" y="3314700"/>
          <a:ext cx="5562600" cy="3714750"/>
        </a:xfrm>
        <a:prstGeom prst="roundRect">
          <a:avLst>
            <a:gd name="adj" fmla="val 5383"/>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t"/>
        <a:lstStyle/>
        <a:p>
          <a:pPr algn="l"/>
          <a:endParaRPr lang="en-IN" sz="1100"/>
        </a:p>
      </xdr:txBody>
    </xdr:sp>
    <xdr:clientData/>
  </xdr:twoCellAnchor>
  <xdr:twoCellAnchor>
    <xdr:from>
      <xdr:col>1</xdr:col>
      <xdr:colOff>66674</xdr:colOff>
      <xdr:row>1</xdr:row>
      <xdr:rowOff>38100</xdr:rowOff>
    </xdr:from>
    <xdr:to>
      <xdr:col>2</xdr:col>
      <xdr:colOff>561975</xdr:colOff>
      <xdr:row>7</xdr:row>
      <xdr:rowOff>1</xdr:rowOff>
    </xdr:to>
    <xdr:pic>
      <xdr:nvPicPr>
        <xdr:cNvPr id="34" name="Graphic 33" descr="Medical with solid fill">
          <a:extLst>
            <a:ext uri="{FF2B5EF4-FFF2-40B4-BE49-F238E27FC236}">
              <a16:creationId xmlns:a16="http://schemas.microsoft.com/office/drawing/2014/main" id="{A42C0585-8892-2BE0-D8CE-12C5777F048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76274" y="228600"/>
          <a:ext cx="1104901" cy="1104901"/>
        </a:xfrm>
        <a:prstGeom prst="rect">
          <a:avLst/>
        </a:prstGeom>
      </xdr:spPr>
    </xdr:pic>
    <xdr:clientData/>
  </xdr:twoCellAnchor>
  <xdr:twoCellAnchor>
    <xdr:from>
      <xdr:col>5</xdr:col>
      <xdr:colOff>161925</xdr:colOff>
      <xdr:row>4</xdr:row>
      <xdr:rowOff>38100</xdr:rowOff>
    </xdr:from>
    <xdr:to>
      <xdr:col>9</xdr:col>
      <xdr:colOff>238125</xdr:colOff>
      <xdr:row>6</xdr:row>
      <xdr:rowOff>0</xdr:rowOff>
    </xdr:to>
    <xdr:sp macro="" textlink="">
      <xdr:nvSpPr>
        <xdr:cNvPr id="35" name="TextBox 34">
          <a:extLst>
            <a:ext uri="{FF2B5EF4-FFF2-40B4-BE49-F238E27FC236}">
              <a16:creationId xmlns:a16="http://schemas.microsoft.com/office/drawing/2014/main" id="{66E34A7F-35B5-ACC7-BDA7-999FB69A74A0}"/>
            </a:ext>
          </a:extLst>
        </xdr:cNvPr>
        <xdr:cNvSpPr txBox="1"/>
      </xdr:nvSpPr>
      <xdr:spPr>
        <a:xfrm>
          <a:off x="3209925" y="800100"/>
          <a:ext cx="25146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a:solidFill>
                <a:schemeClr val="accent1">
                  <a:lumMod val="50000"/>
                </a:schemeClr>
              </a:solidFill>
              <a:latin typeface="+mn-lt"/>
            </a:rPr>
            <a:t>Monthly Report</a:t>
          </a:r>
        </a:p>
      </xdr:txBody>
    </xdr:sp>
    <xdr:clientData/>
  </xdr:twoCellAnchor>
  <xdr:twoCellAnchor>
    <xdr:from>
      <xdr:col>3</xdr:col>
      <xdr:colOff>228600</xdr:colOff>
      <xdr:row>12</xdr:row>
      <xdr:rowOff>114300</xdr:rowOff>
    </xdr:from>
    <xdr:to>
      <xdr:col>6</xdr:col>
      <xdr:colOff>409575</xdr:colOff>
      <xdr:row>14</xdr:row>
      <xdr:rowOff>76200</xdr:rowOff>
    </xdr:to>
    <xdr:sp macro="" textlink="">
      <xdr:nvSpPr>
        <xdr:cNvPr id="36" name="TextBox 35">
          <a:hlinkClick xmlns:r="http://schemas.openxmlformats.org/officeDocument/2006/relationships" r:id="rId1"/>
          <a:extLst>
            <a:ext uri="{FF2B5EF4-FFF2-40B4-BE49-F238E27FC236}">
              <a16:creationId xmlns:a16="http://schemas.microsoft.com/office/drawing/2014/main" id="{9FB5A746-F529-A272-83F6-5CB07AC8E1F4}"/>
            </a:ext>
          </a:extLst>
        </xdr:cNvPr>
        <xdr:cNvSpPr txBox="1"/>
      </xdr:nvSpPr>
      <xdr:spPr>
        <a:xfrm>
          <a:off x="2057400" y="2400300"/>
          <a:ext cx="20097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solidFill>
                <a:schemeClr val="accent1">
                  <a:lumMod val="50000"/>
                </a:schemeClr>
              </a:solidFill>
              <a:latin typeface="+mn-lt"/>
            </a:rPr>
            <a:t>No. of Patients</a:t>
          </a:r>
        </a:p>
      </xdr:txBody>
    </xdr:sp>
    <xdr:clientData/>
  </xdr:twoCellAnchor>
  <xdr:twoCellAnchor>
    <xdr:from>
      <xdr:col>6</xdr:col>
      <xdr:colOff>581025</xdr:colOff>
      <xdr:row>12</xdr:row>
      <xdr:rowOff>114300</xdr:rowOff>
    </xdr:from>
    <xdr:to>
      <xdr:col>10</xdr:col>
      <xdr:colOff>152400</xdr:colOff>
      <xdr:row>14</xdr:row>
      <xdr:rowOff>76200</xdr:rowOff>
    </xdr:to>
    <xdr:sp macro="" textlink="">
      <xdr:nvSpPr>
        <xdr:cNvPr id="40" name="TextBox 39">
          <a:hlinkClick xmlns:r="http://schemas.openxmlformats.org/officeDocument/2006/relationships" r:id="rId2"/>
          <a:extLst>
            <a:ext uri="{FF2B5EF4-FFF2-40B4-BE49-F238E27FC236}">
              <a16:creationId xmlns:a16="http://schemas.microsoft.com/office/drawing/2014/main" id="{C651B932-57D8-C37A-85FC-787F2E9C68AF}"/>
            </a:ext>
          </a:extLst>
        </xdr:cNvPr>
        <xdr:cNvSpPr txBox="1"/>
      </xdr:nvSpPr>
      <xdr:spPr>
        <a:xfrm>
          <a:off x="4238625" y="2400300"/>
          <a:ext cx="20097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solidFill>
                <a:schemeClr val="accent1">
                  <a:lumMod val="50000"/>
                </a:schemeClr>
              </a:solidFill>
              <a:latin typeface="+mn-lt"/>
            </a:rPr>
            <a:t>Average Wait Time</a:t>
          </a:r>
        </a:p>
      </xdr:txBody>
    </xdr:sp>
    <xdr:clientData/>
  </xdr:twoCellAnchor>
  <xdr:twoCellAnchor>
    <xdr:from>
      <xdr:col>10</xdr:col>
      <xdr:colOff>323850</xdr:colOff>
      <xdr:row>12</xdr:row>
      <xdr:rowOff>114300</xdr:rowOff>
    </xdr:from>
    <xdr:to>
      <xdr:col>13</xdr:col>
      <xdr:colOff>504825</xdr:colOff>
      <xdr:row>14</xdr:row>
      <xdr:rowOff>76200</xdr:rowOff>
    </xdr:to>
    <xdr:sp macro="" textlink="">
      <xdr:nvSpPr>
        <xdr:cNvPr id="41" name="TextBox 40">
          <a:hlinkClick xmlns:r="http://schemas.openxmlformats.org/officeDocument/2006/relationships" r:id="rId3"/>
          <a:extLst>
            <a:ext uri="{FF2B5EF4-FFF2-40B4-BE49-F238E27FC236}">
              <a16:creationId xmlns:a16="http://schemas.microsoft.com/office/drawing/2014/main" id="{5F10F5E1-D1AE-48E7-ADB5-99260CE0CD65}"/>
            </a:ext>
          </a:extLst>
        </xdr:cNvPr>
        <xdr:cNvSpPr txBox="1"/>
      </xdr:nvSpPr>
      <xdr:spPr>
        <a:xfrm>
          <a:off x="6419850" y="2400300"/>
          <a:ext cx="20097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solidFill>
                <a:schemeClr val="accent1">
                  <a:lumMod val="50000"/>
                </a:schemeClr>
              </a:solidFill>
              <a:latin typeface="+mn-lt"/>
            </a:rPr>
            <a:t>Patient</a:t>
          </a:r>
          <a:r>
            <a:rPr lang="en-IN" sz="1600" b="0" baseline="0">
              <a:solidFill>
                <a:schemeClr val="accent1">
                  <a:lumMod val="50000"/>
                </a:schemeClr>
              </a:solidFill>
              <a:latin typeface="+mn-lt"/>
            </a:rPr>
            <a:t> Satisfaction</a:t>
          </a:r>
          <a:endParaRPr lang="en-IN" sz="1600" b="0">
            <a:solidFill>
              <a:schemeClr val="accent1">
                <a:lumMod val="50000"/>
              </a:schemeClr>
            </a:solidFill>
            <a:latin typeface="+mn-lt"/>
          </a:endParaRPr>
        </a:p>
      </xdr:txBody>
    </xdr:sp>
    <xdr:clientData/>
  </xdr:twoCellAnchor>
  <xdr:twoCellAnchor>
    <xdr:from>
      <xdr:col>3</xdr:col>
      <xdr:colOff>239325</xdr:colOff>
      <xdr:row>10</xdr:row>
      <xdr:rowOff>76199</xdr:rowOff>
    </xdr:from>
    <xdr:to>
      <xdr:col>6</xdr:col>
      <xdr:colOff>390525</xdr:colOff>
      <xdr:row>12</xdr:row>
      <xdr:rowOff>91199</xdr:rowOff>
    </xdr:to>
    <xdr:graphicFrame macro="">
      <xdr:nvGraphicFramePr>
        <xdr:cNvPr id="42" name="Chart 41">
          <a:hlinkClick xmlns:r="http://schemas.openxmlformats.org/officeDocument/2006/relationships" r:id="rId1"/>
          <a:extLst>
            <a:ext uri="{FF2B5EF4-FFF2-40B4-BE49-F238E27FC236}">
              <a16:creationId xmlns:a16="http://schemas.microsoft.com/office/drawing/2014/main" id="{EE70F119-A570-4E9A-B80E-E9C63C37C4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591536</xdr:colOff>
      <xdr:row>11</xdr:row>
      <xdr:rowOff>28575</xdr:rowOff>
    </xdr:from>
    <xdr:to>
      <xdr:col>10</xdr:col>
      <xdr:colOff>133136</xdr:colOff>
      <xdr:row>13</xdr:row>
      <xdr:rowOff>43575</xdr:rowOff>
    </xdr:to>
    <xdr:graphicFrame macro="">
      <xdr:nvGraphicFramePr>
        <xdr:cNvPr id="43" name="Chart 42">
          <a:hlinkClick xmlns:r="http://schemas.openxmlformats.org/officeDocument/2006/relationships" r:id="rId2"/>
          <a:extLst>
            <a:ext uri="{FF2B5EF4-FFF2-40B4-BE49-F238E27FC236}">
              <a16:creationId xmlns:a16="http://schemas.microsoft.com/office/drawing/2014/main" id="{AD06F4CD-1D65-4D5A-9107-E77C3E451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336003</xdr:colOff>
      <xdr:row>10</xdr:row>
      <xdr:rowOff>57150</xdr:rowOff>
    </xdr:from>
    <xdr:to>
      <xdr:col>13</xdr:col>
      <xdr:colOff>487203</xdr:colOff>
      <xdr:row>12</xdr:row>
      <xdr:rowOff>72150</xdr:rowOff>
    </xdr:to>
    <xdr:graphicFrame macro="">
      <xdr:nvGraphicFramePr>
        <xdr:cNvPr id="44" name="Chart 43">
          <a:hlinkClick xmlns:r="http://schemas.openxmlformats.org/officeDocument/2006/relationships" r:id="rId3"/>
          <a:extLst>
            <a:ext uri="{FF2B5EF4-FFF2-40B4-BE49-F238E27FC236}">
              <a16:creationId xmlns:a16="http://schemas.microsoft.com/office/drawing/2014/main" id="{EE7E363E-FBC3-4E1A-9E90-36EB2AE93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0</xdr:colOff>
      <xdr:row>10</xdr:row>
      <xdr:rowOff>104776</xdr:rowOff>
    </xdr:from>
    <xdr:to>
      <xdr:col>3</xdr:col>
      <xdr:colOff>58724</xdr:colOff>
      <xdr:row>36</xdr:row>
      <xdr:rowOff>123826</xdr:rowOff>
    </xdr:to>
    <mc:AlternateContent xmlns:mc="http://schemas.openxmlformats.org/markup-compatibility/2006" xmlns:a14="http://schemas.microsoft.com/office/drawing/2010/main">
      <mc:Choice Requires="a14">
        <xdr:graphicFrame macro="">
          <xdr:nvGraphicFramePr>
            <xdr:cNvPr id="45" name="Date (Month)">
              <a:extLst>
                <a:ext uri="{FF2B5EF4-FFF2-40B4-BE49-F238E27FC236}">
                  <a16:creationId xmlns:a16="http://schemas.microsoft.com/office/drawing/2014/main" id="{00B06023-9A0B-4059-B702-983BCC2A9ABD}"/>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609600" y="2009776"/>
              <a:ext cx="1277924" cy="497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104776</xdr:colOff>
      <xdr:row>8</xdr:row>
      <xdr:rowOff>38101</xdr:rowOff>
    </xdr:from>
    <xdr:to>
      <xdr:col>2</xdr:col>
      <xdr:colOff>571500</xdr:colOff>
      <xdr:row>10</xdr:row>
      <xdr:rowOff>171450</xdr:rowOff>
    </xdr:to>
    <mc:AlternateContent xmlns:mc="http://schemas.openxmlformats.org/markup-compatibility/2006" xmlns:a14="http://schemas.microsoft.com/office/drawing/2010/main">
      <mc:Choice Requires="a14">
        <xdr:graphicFrame macro="">
          <xdr:nvGraphicFramePr>
            <xdr:cNvPr id="48" name="Date (Year)">
              <a:extLst>
                <a:ext uri="{FF2B5EF4-FFF2-40B4-BE49-F238E27FC236}">
                  <a16:creationId xmlns:a16="http://schemas.microsoft.com/office/drawing/2014/main" id="{E8C411FB-4E32-4920-8426-F5D6F3554E7A}"/>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714376" y="1562101"/>
              <a:ext cx="1076324" cy="514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228601</xdr:colOff>
      <xdr:row>22</xdr:row>
      <xdr:rowOff>85725</xdr:rowOff>
    </xdr:from>
    <xdr:to>
      <xdr:col>13</xdr:col>
      <xdr:colOff>504825</xdr:colOff>
      <xdr:row>35</xdr:row>
      <xdr:rowOff>28574</xdr:rowOff>
    </xdr:to>
    <xdr:graphicFrame macro="">
      <xdr:nvGraphicFramePr>
        <xdr:cNvPr id="49" name="Chart 48">
          <a:extLst>
            <a:ext uri="{FF2B5EF4-FFF2-40B4-BE49-F238E27FC236}">
              <a16:creationId xmlns:a16="http://schemas.microsoft.com/office/drawing/2014/main" id="{3B1F29DF-36AF-4025-B2C9-5BE7745D3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95250</xdr:colOff>
      <xdr:row>35</xdr:row>
      <xdr:rowOff>0</xdr:rowOff>
    </xdr:from>
    <xdr:to>
      <xdr:col>11</xdr:col>
      <xdr:colOff>57150</xdr:colOff>
      <xdr:row>36</xdr:row>
      <xdr:rowOff>152400</xdr:rowOff>
    </xdr:to>
    <xdr:sp macro="" textlink="">
      <xdr:nvSpPr>
        <xdr:cNvPr id="51" name="TextBox 50">
          <a:extLst>
            <a:ext uri="{FF2B5EF4-FFF2-40B4-BE49-F238E27FC236}">
              <a16:creationId xmlns:a16="http://schemas.microsoft.com/office/drawing/2014/main" id="{70BFB9D6-D916-4587-970E-6BFD2CF75C83}"/>
            </a:ext>
          </a:extLst>
        </xdr:cNvPr>
        <xdr:cNvSpPr txBox="1"/>
      </xdr:nvSpPr>
      <xdr:spPr>
        <a:xfrm>
          <a:off x="3752850" y="6667500"/>
          <a:ext cx="30099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solidFill>
                <a:schemeClr val="accent1">
                  <a:lumMod val="50000"/>
                </a:schemeClr>
              </a:solidFill>
              <a:latin typeface="+mn-lt"/>
            </a:rPr>
            <a:t>Patients by Age Group</a:t>
          </a:r>
        </a:p>
      </xdr:txBody>
    </xdr:sp>
    <xdr:clientData/>
  </xdr:twoCellAnchor>
  <xdr:twoCellAnchor>
    <xdr:from>
      <xdr:col>14</xdr:col>
      <xdr:colOff>200025</xdr:colOff>
      <xdr:row>18</xdr:row>
      <xdr:rowOff>47624</xdr:rowOff>
    </xdr:from>
    <xdr:to>
      <xdr:col>22</xdr:col>
      <xdr:colOff>581025</xdr:colOff>
      <xdr:row>34</xdr:row>
      <xdr:rowOff>152399</xdr:rowOff>
    </xdr:to>
    <xdr:graphicFrame macro="">
      <xdr:nvGraphicFramePr>
        <xdr:cNvPr id="52" name="Chart 51">
          <a:extLst>
            <a:ext uri="{FF2B5EF4-FFF2-40B4-BE49-F238E27FC236}">
              <a16:creationId xmlns:a16="http://schemas.microsoft.com/office/drawing/2014/main" id="{D6E712EA-D5B3-4715-B5AC-39926C58ED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133350</xdr:colOff>
      <xdr:row>35</xdr:row>
      <xdr:rowOff>0</xdr:rowOff>
    </xdr:from>
    <xdr:to>
      <xdr:col>21</xdr:col>
      <xdr:colOff>95250</xdr:colOff>
      <xdr:row>36</xdr:row>
      <xdr:rowOff>152400</xdr:rowOff>
    </xdr:to>
    <xdr:sp macro="" textlink="">
      <xdr:nvSpPr>
        <xdr:cNvPr id="53" name="TextBox 52">
          <a:extLst>
            <a:ext uri="{FF2B5EF4-FFF2-40B4-BE49-F238E27FC236}">
              <a16:creationId xmlns:a16="http://schemas.microsoft.com/office/drawing/2014/main" id="{A22A6A43-4305-52FF-7391-FD674E152D19}"/>
            </a:ext>
          </a:extLst>
        </xdr:cNvPr>
        <xdr:cNvSpPr txBox="1"/>
      </xdr:nvSpPr>
      <xdr:spPr>
        <a:xfrm>
          <a:off x="9886950" y="6667500"/>
          <a:ext cx="30099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solidFill>
                <a:schemeClr val="accent1">
                  <a:lumMod val="50000"/>
                </a:schemeClr>
              </a:solidFill>
              <a:latin typeface="+mn-lt"/>
            </a:rPr>
            <a:t>Patients by Department Referral</a:t>
          </a:r>
        </a:p>
      </xdr:txBody>
    </xdr:sp>
    <xdr:clientData/>
  </xdr:twoCellAnchor>
  <xdr:twoCellAnchor>
    <xdr:from>
      <xdr:col>14</xdr:col>
      <xdr:colOff>38101</xdr:colOff>
      <xdr:row>1</xdr:row>
      <xdr:rowOff>19050</xdr:rowOff>
    </xdr:from>
    <xdr:to>
      <xdr:col>18</xdr:col>
      <xdr:colOff>276225</xdr:colOff>
      <xdr:row>14</xdr:row>
      <xdr:rowOff>85725</xdr:rowOff>
    </xdr:to>
    <xdr:graphicFrame macro="">
      <xdr:nvGraphicFramePr>
        <xdr:cNvPr id="54" name="Chart 53">
          <a:extLst>
            <a:ext uri="{FF2B5EF4-FFF2-40B4-BE49-F238E27FC236}">
              <a16:creationId xmlns:a16="http://schemas.microsoft.com/office/drawing/2014/main" id="{3A26CB39-5B5B-45BA-9378-4308FB4AB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76199</xdr:colOff>
      <xdr:row>14</xdr:row>
      <xdr:rowOff>57150</xdr:rowOff>
    </xdr:from>
    <xdr:to>
      <xdr:col>18</xdr:col>
      <xdr:colOff>247650</xdr:colOff>
      <xdr:row>16</xdr:row>
      <xdr:rowOff>19050</xdr:rowOff>
    </xdr:to>
    <xdr:sp macro="" textlink="">
      <xdr:nvSpPr>
        <xdr:cNvPr id="55" name="TextBox 54">
          <a:extLst>
            <a:ext uri="{FF2B5EF4-FFF2-40B4-BE49-F238E27FC236}">
              <a16:creationId xmlns:a16="http://schemas.microsoft.com/office/drawing/2014/main" id="{9B33BCE0-74FF-48B2-92BF-B7030ADCBA1A}"/>
            </a:ext>
          </a:extLst>
        </xdr:cNvPr>
        <xdr:cNvSpPr txBox="1"/>
      </xdr:nvSpPr>
      <xdr:spPr>
        <a:xfrm>
          <a:off x="8610599" y="2724150"/>
          <a:ext cx="2609851"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solidFill>
                <a:schemeClr val="accent1">
                  <a:lumMod val="50000"/>
                </a:schemeClr>
              </a:solidFill>
              <a:latin typeface="+mn-lt"/>
            </a:rPr>
            <a:t>Patient Response Time</a:t>
          </a:r>
        </a:p>
      </xdr:txBody>
    </xdr:sp>
    <xdr:clientData/>
  </xdr:twoCellAnchor>
  <xdr:twoCellAnchor>
    <xdr:from>
      <xdr:col>18</xdr:col>
      <xdr:colOff>504824</xdr:colOff>
      <xdr:row>14</xdr:row>
      <xdr:rowOff>76200</xdr:rowOff>
    </xdr:from>
    <xdr:to>
      <xdr:col>23</xdr:col>
      <xdr:colOff>66675</xdr:colOff>
      <xdr:row>16</xdr:row>
      <xdr:rowOff>38100</xdr:rowOff>
    </xdr:to>
    <xdr:sp macro="" textlink="">
      <xdr:nvSpPr>
        <xdr:cNvPr id="56" name="TextBox 55">
          <a:extLst>
            <a:ext uri="{FF2B5EF4-FFF2-40B4-BE49-F238E27FC236}">
              <a16:creationId xmlns:a16="http://schemas.microsoft.com/office/drawing/2014/main" id="{450F7AA7-E666-4666-8F2A-E24E2C4161C1}"/>
            </a:ext>
          </a:extLst>
        </xdr:cNvPr>
        <xdr:cNvSpPr txBox="1"/>
      </xdr:nvSpPr>
      <xdr:spPr>
        <a:xfrm>
          <a:off x="11477624" y="2743200"/>
          <a:ext cx="2609851"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solidFill>
                <a:schemeClr val="accent1">
                  <a:lumMod val="50000"/>
                </a:schemeClr>
              </a:solidFill>
              <a:latin typeface="+mn-lt"/>
            </a:rPr>
            <a:t>Patients</a:t>
          </a:r>
          <a:r>
            <a:rPr lang="en-IN" sz="1600" b="0" baseline="0">
              <a:solidFill>
                <a:schemeClr val="accent1">
                  <a:lumMod val="50000"/>
                </a:schemeClr>
              </a:solidFill>
              <a:latin typeface="+mn-lt"/>
            </a:rPr>
            <a:t> by Gender</a:t>
          </a:r>
          <a:endParaRPr lang="en-IN" sz="1600" b="0">
            <a:solidFill>
              <a:schemeClr val="accent1">
                <a:lumMod val="50000"/>
              </a:schemeClr>
            </a:solidFill>
            <a:latin typeface="+mn-lt"/>
          </a:endParaRPr>
        </a:p>
      </xdr:txBody>
    </xdr:sp>
    <xdr:clientData/>
  </xdr:twoCellAnchor>
  <xdr:twoCellAnchor>
    <xdr:from>
      <xdr:col>18</xdr:col>
      <xdr:colOff>438149</xdr:colOff>
      <xdr:row>1</xdr:row>
      <xdr:rowOff>47625</xdr:rowOff>
    </xdr:from>
    <xdr:to>
      <xdr:col>23</xdr:col>
      <xdr:colOff>95250</xdr:colOff>
      <xdr:row>15</xdr:row>
      <xdr:rowOff>9525</xdr:rowOff>
    </xdr:to>
    <xdr:graphicFrame macro="">
      <xdr:nvGraphicFramePr>
        <xdr:cNvPr id="57" name="Chart 56">
          <a:extLst>
            <a:ext uri="{FF2B5EF4-FFF2-40B4-BE49-F238E27FC236}">
              <a16:creationId xmlns:a16="http://schemas.microsoft.com/office/drawing/2014/main" id="{61F22920-124D-4579-888E-51AFF092C6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mc:AlternateContent xmlns:mc="http://schemas.openxmlformats.org/markup-compatibility/2006">
    <mc:Choice xmlns:a14="http://schemas.microsoft.com/office/drawing/2010/main" Requires="a14">
      <xdr:twoCellAnchor>
        <xdr:from>
          <xdr:col>3</xdr:col>
          <xdr:colOff>228600</xdr:colOff>
          <xdr:row>15</xdr:row>
          <xdr:rowOff>66675</xdr:rowOff>
        </xdr:from>
        <xdr:to>
          <xdr:col>13</xdr:col>
          <xdr:colOff>485775</xdr:colOff>
          <xdr:row>21</xdr:row>
          <xdr:rowOff>104774</xdr:rowOff>
        </xdr:to>
        <xdr:pic>
          <xdr:nvPicPr>
            <xdr:cNvPr id="68" name="Picture 67">
              <a:extLst>
                <a:ext uri="{FF2B5EF4-FFF2-40B4-BE49-F238E27FC236}">
                  <a16:creationId xmlns:a16="http://schemas.microsoft.com/office/drawing/2014/main" id="{1DAA47E8-AAB9-EED1-EC60-E194BCEFC27F}"/>
                </a:ext>
              </a:extLst>
            </xdr:cNvPr>
            <xdr:cNvPicPr>
              <a:picLocks noChangeAspect="1" noChangeArrowheads="1"/>
              <a:extLst>
                <a:ext uri="{84589F7E-364E-4C9E-8A38-B11213B215E9}">
                  <a14:cameraTool cellRange="Pivots!$AJ$5:$AM$7" spid="_x0000_s2087"/>
                </a:ext>
              </a:extLst>
            </xdr:cNvPicPr>
          </xdr:nvPicPr>
          <xdr:blipFill>
            <a:blip xmlns:r="http://schemas.openxmlformats.org/officeDocument/2006/relationships" r:embed="rId13"/>
            <a:srcRect/>
            <a:stretch>
              <a:fillRect/>
            </a:stretch>
          </xdr:blipFill>
          <xdr:spPr bwMode="auto">
            <a:xfrm>
              <a:off x="2057400" y="2924175"/>
              <a:ext cx="6353175" cy="1181099"/>
            </a:xfrm>
            <a:prstGeom prst="roundRect">
              <a:avLst>
                <a:gd name="adj" fmla="val 11828"/>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0</xdr:colOff>
      <xdr:row>39</xdr:row>
      <xdr:rowOff>0</xdr:rowOff>
    </xdr:to>
    <xdr:graphicFrame macro="">
      <xdr:nvGraphicFramePr>
        <xdr:cNvPr id="2" name="Chart 1">
          <a:extLst>
            <a:ext uri="{FF2B5EF4-FFF2-40B4-BE49-F238E27FC236}">
              <a16:creationId xmlns:a16="http://schemas.microsoft.com/office/drawing/2014/main" id="{E2B8EA8A-7DC2-4761-B950-F617281A3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0.41379</cdr:x>
      <cdr:y>0.02564</cdr:y>
    </cdr:from>
    <cdr:to>
      <cdr:x>0.58908</cdr:x>
      <cdr:y>0.07179</cdr:y>
    </cdr:to>
    <cdr:sp macro="" textlink="">
      <cdr:nvSpPr>
        <cdr:cNvPr id="2" name="TextBox 52">
          <a:extLst xmlns:a="http://schemas.openxmlformats.org/drawingml/2006/main">
            <a:ext uri="{FF2B5EF4-FFF2-40B4-BE49-F238E27FC236}">
              <a16:creationId xmlns:a16="http://schemas.microsoft.com/office/drawing/2014/main" id="{8B423585-3E33-E6FC-56B1-95198F047EED}"/>
            </a:ext>
          </a:extLst>
        </cdr:cNvPr>
        <cdr:cNvSpPr txBox="1"/>
      </cdr:nvSpPr>
      <cdr:spPr>
        <a:xfrm xmlns:a="http://schemas.openxmlformats.org/drawingml/2006/main">
          <a:off x="7315200" y="190500"/>
          <a:ext cx="3098800" cy="3429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600" b="0">
              <a:solidFill>
                <a:schemeClr val="bg1"/>
              </a:solidFill>
              <a:latin typeface="+mn-lt"/>
            </a:rPr>
            <a:t>No. of Patients</a:t>
          </a:r>
          <a:r>
            <a:rPr lang="en-IN" sz="1600" b="0" baseline="0">
              <a:solidFill>
                <a:schemeClr val="bg1"/>
              </a:solidFill>
              <a:latin typeface="+mn-lt"/>
            </a:rPr>
            <a:t> </a:t>
          </a:r>
          <a:r>
            <a:rPr lang="en-IN" sz="1600" b="0">
              <a:solidFill>
                <a:schemeClr val="bg1"/>
              </a:solidFill>
              <a:latin typeface="+mn-lt"/>
            </a:rPr>
            <a:t>by Date</a:t>
          </a:r>
        </a:p>
      </cdr:txBody>
    </cdr:sp>
  </cdr:relSizeAnchor>
  <cdr:relSizeAnchor xmlns:cdr="http://schemas.openxmlformats.org/drawingml/2006/chartDrawing">
    <cdr:from>
      <cdr:x>0.00287</cdr:x>
      <cdr:y>0.00684</cdr:y>
    </cdr:from>
    <cdr:to>
      <cdr:x>0.04059</cdr:x>
      <cdr:y>0.09658</cdr:y>
    </cdr:to>
    <cdr:pic>
      <cdr:nvPicPr>
        <cdr:cNvPr id="3" name="Graphic 4"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2554040-785A-4041-6E0D-B65AC67700A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666750" cy="666750"/>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0</xdr:colOff>
      <xdr:row>39</xdr:row>
      <xdr:rowOff>0</xdr:rowOff>
    </xdr:to>
    <xdr:graphicFrame macro="">
      <xdr:nvGraphicFramePr>
        <xdr:cNvPr id="2" name="Chart 1">
          <a:extLst>
            <a:ext uri="{FF2B5EF4-FFF2-40B4-BE49-F238E27FC236}">
              <a16:creationId xmlns:a16="http://schemas.microsoft.com/office/drawing/2014/main" id="{FC22D5AD-683A-4C41-A06C-BC068FAF78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0.41882</cdr:x>
      <cdr:y>0.03248</cdr:y>
    </cdr:from>
    <cdr:to>
      <cdr:x>0.62069</cdr:x>
      <cdr:y>0.07863</cdr:y>
    </cdr:to>
    <cdr:sp macro="" textlink="">
      <cdr:nvSpPr>
        <cdr:cNvPr id="2" name="TextBox 52">
          <a:extLst xmlns:a="http://schemas.openxmlformats.org/drawingml/2006/main">
            <a:ext uri="{FF2B5EF4-FFF2-40B4-BE49-F238E27FC236}">
              <a16:creationId xmlns:a16="http://schemas.microsoft.com/office/drawing/2014/main" id="{3C4E4443-3849-49D0-DB17-50F57D142C06}"/>
            </a:ext>
          </a:extLst>
        </cdr:cNvPr>
        <cdr:cNvSpPr txBox="1"/>
      </cdr:nvSpPr>
      <cdr:spPr>
        <a:xfrm xmlns:a="http://schemas.openxmlformats.org/drawingml/2006/main">
          <a:off x="7404100" y="241300"/>
          <a:ext cx="3568700" cy="3429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600" b="0">
              <a:solidFill>
                <a:schemeClr val="bg1"/>
              </a:solidFill>
              <a:latin typeface="+mn-lt"/>
            </a:rPr>
            <a:t>Average Patient Wait Time by Date</a:t>
          </a:r>
        </a:p>
      </cdr:txBody>
    </cdr:sp>
  </cdr:relSizeAnchor>
  <cdr:relSizeAnchor xmlns:cdr="http://schemas.openxmlformats.org/drawingml/2006/chartDrawing">
    <cdr:from>
      <cdr:x>0.00287</cdr:x>
      <cdr:y>0.00684</cdr:y>
    </cdr:from>
    <cdr:to>
      <cdr:x>0.04059</cdr:x>
      <cdr:y>0.09658</cdr:y>
    </cdr:to>
    <cdr:pic>
      <cdr:nvPicPr>
        <cdr:cNvPr id="3" name="Graphic 4"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AB3193A-0481-56F9-A1D3-1267C9E07A5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666750" cy="66675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0</xdr:colOff>
      <xdr:row>39</xdr:row>
      <xdr:rowOff>0</xdr:rowOff>
    </xdr:to>
    <xdr:graphicFrame macro="">
      <xdr:nvGraphicFramePr>
        <xdr:cNvPr id="3" name="Chart 2">
          <a:extLst>
            <a:ext uri="{FF2B5EF4-FFF2-40B4-BE49-F238E27FC236}">
              <a16:creationId xmlns:a16="http://schemas.microsoft.com/office/drawing/2014/main" id="{73BBD8A6-8F4F-469C-A30C-2C3C77B5A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38100</xdr:colOff>
      <xdr:row>1</xdr:row>
      <xdr:rowOff>0</xdr:rowOff>
    </xdr:from>
    <xdr:to>
      <xdr:col>17</xdr:col>
      <xdr:colOff>0</xdr:colOff>
      <xdr:row>2</xdr:row>
      <xdr:rowOff>152400</xdr:rowOff>
    </xdr:to>
    <xdr:sp macro="" textlink="">
      <xdr:nvSpPr>
        <xdr:cNvPr id="2" name="TextBox 52">
          <a:extLst>
            <a:ext uri="{FF2B5EF4-FFF2-40B4-BE49-F238E27FC236}">
              <a16:creationId xmlns:a16="http://schemas.microsoft.com/office/drawing/2014/main" id="{3C4E4443-3849-49D0-DB17-50F57D142C06}"/>
            </a:ext>
          </a:extLst>
        </xdr:cNvPr>
        <xdr:cNvSpPr txBox="1"/>
      </xdr:nvSpPr>
      <xdr:spPr>
        <a:xfrm>
          <a:off x="7353300" y="190500"/>
          <a:ext cx="30099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1600" b="0">
              <a:solidFill>
                <a:schemeClr val="bg1"/>
              </a:solidFill>
              <a:latin typeface="+mn-lt"/>
            </a:rPr>
            <a:t>Patient Satisfaction Trend by Date</a:t>
          </a:r>
        </a:p>
      </xdr:txBody>
    </xdr:sp>
    <xdr:clientData/>
  </xdr:twoCellAnchor>
  <xdr:twoCellAnchor editAs="oneCell">
    <xdr:from>
      <xdr:col>0</xdr:col>
      <xdr:colOff>0</xdr:colOff>
      <xdr:row>0</xdr:row>
      <xdr:rowOff>0</xdr:rowOff>
    </xdr:from>
    <xdr:to>
      <xdr:col>1</xdr:col>
      <xdr:colOff>57150</xdr:colOff>
      <xdr:row>3</xdr:row>
      <xdr:rowOff>95250</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7AB3193A-0481-56F9-A1D3-1267C9E07A5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666750" cy="6667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37</xdr:col>
      <xdr:colOff>8283</xdr:colOff>
      <xdr:row>5</xdr:row>
      <xdr:rowOff>16566</xdr:rowOff>
    </xdr:from>
    <xdr:to>
      <xdr:col>38</xdr:col>
      <xdr:colOff>8283</xdr:colOff>
      <xdr:row>7</xdr:row>
      <xdr:rowOff>16566</xdr:rowOff>
    </xdr:to>
    <xdr:graphicFrame macro="">
      <xdr:nvGraphicFramePr>
        <xdr:cNvPr id="27" name="Chart 26">
          <a:extLst>
            <a:ext uri="{FF2B5EF4-FFF2-40B4-BE49-F238E27FC236}">
              <a16:creationId xmlns:a16="http://schemas.microsoft.com/office/drawing/2014/main" id="{B14E0A81-B3BC-338B-98B5-97434192C7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omoy Halder" refreshedDate="46272.52799722222" backgroundQuery="1" createdVersion="8" refreshedVersion="8" minRefreshableVersion="3" recordCount="0" supportSubquery="1" supportAdvancedDrill="1" xr:uid="{4D9ADDCB-136E-4FEC-ABF0-9F747CFBC191}">
  <cacheSource type="external" connectionId="3"/>
  <cacheFields count="5">
    <cacheField name="[Calendar Table].[Date].[Date]" caption="Date" numFmtId="0" level="1">
      <sharedItems containsSemiMixedTypes="0" containsNonDate="0" containsDate="1" containsString="0" minDate="2023-04-01T00:00:00" maxDate="2024-10-31T00:00:00" count="579">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sharedItems>
    </cacheField>
    <cacheField name="[Calendar Table].[Date (Day)].[Date (Day)]" caption="Date (Day)" numFmtId="0" hierarchy="2" level="1">
      <sharedItems count="366">
        <s v="1-Aug"/>
        <s v="2-Aug"/>
        <s v="3-Aug"/>
        <s v="4-Aug"/>
        <s v="5-Aug"/>
        <s v="6-Aug"/>
        <s v="7-Aug"/>
        <s v="8-Aug"/>
        <s v="9-Aug"/>
        <s v="10-Aug"/>
        <s v="11-Aug"/>
        <s v="12-Aug"/>
        <s v="13-Aug"/>
        <s v="14-Aug"/>
        <s v="15-Aug"/>
        <s v="16-Aug"/>
        <s v="17-Aug"/>
        <s v="18-Aug"/>
        <s v="19-Aug"/>
        <s v="20-Aug"/>
        <s v="21-Aug"/>
        <s v="22-Aug"/>
        <s v="23-Aug"/>
        <s v="24-Aug"/>
        <s v="25-Aug"/>
        <s v="26-Aug"/>
        <s v="27-Aug"/>
        <s v="28-Aug"/>
        <s v="29-Aug"/>
        <s v="30-Aug"/>
        <s v="31-Aug"/>
        <s v="1-Oct" u="1"/>
        <s v="2-Oct" u="1"/>
        <s v="3-Oct" u="1"/>
        <s v="4-Oct" u="1"/>
        <s v="5-Oct" u="1"/>
        <s v="6-Oct" u="1"/>
        <s v="7-Oct" u="1"/>
        <s v="8-Oct" u="1"/>
        <s v="9-Oct" u="1"/>
        <s v="10-Oct" u="1"/>
        <s v="11-Oct" u="1"/>
        <s v="12-Oct" u="1"/>
        <s v="13-Oct" u="1"/>
        <s v="14-Oct" u="1"/>
        <s v="15-Oct" u="1"/>
        <s v="16-Oct" u="1"/>
        <s v="17-Oct" u="1"/>
        <s v="18-Oct" u="1"/>
        <s v="19-Oct" u="1"/>
        <s v="20-Oct" u="1"/>
        <s v="21-Oct" u="1"/>
        <s v="22-Oct" u="1"/>
        <s v="23-Oct" u="1"/>
        <s v="24-Oct" u="1"/>
        <s v="25-Oct" u="1"/>
        <s v="26-Oct" u="1"/>
        <s v="27-Oct" u="1"/>
        <s v="28-Oct" u="1"/>
        <s v="29-Oct" u="1"/>
        <s v="30-Oct" u="1"/>
        <s v="31-Oct" u="1"/>
        <s v="1-Jun" u="1"/>
        <s v="2-Jun" u="1"/>
        <s v="3-Jun" u="1"/>
        <s v="4-Jun" u="1"/>
        <s v="5-Jun" u="1"/>
        <s v="6-Jun" u="1"/>
        <s v="7-Jun" u="1"/>
        <s v="8-Jun" u="1"/>
        <s v="9-Jun" u="1"/>
        <s v="10-Jun" u="1"/>
        <s v="11-Jun" u="1"/>
        <s v="12-Jun" u="1"/>
        <s v="13-Jun" u="1"/>
        <s v="14-Jun" u="1"/>
        <s v="15-Jun" u="1"/>
        <s v="16-Jun" u="1"/>
        <s v="17-Jun" u="1"/>
        <s v="18-Jun" u="1"/>
        <s v="19-Jun" u="1"/>
        <s v="20-Jun" u="1"/>
        <s v="21-Jun" u="1"/>
        <s v="22-Jun" u="1"/>
        <s v="23-Jun" u="1"/>
        <s v="24-Jun" u="1"/>
        <s v="25-Jun" u="1"/>
        <s v="26-Jun" u="1"/>
        <s v="27-Jun" u="1"/>
        <s v="28-Jun" u="1"/>
        <s v="29-Jun" u="1"/>
        <s v="30-Jun" u="1"/>
        <s v="1-Jul" u="1"/>
        <s v="2-Jul" u="1"/>
        <s v="3-Jul" u="1"/>
        <s v="4-Jul" u="1"/>
        <s v="5-Jul" u="1"/>
        <s v="6-Jul" u="1"/>
        <s v="7-Jul" u="1"/>
        <s v="8-Jul" u="1"/>
        <s v="9-Jul" u="1"/>
        <s v="10-Jul" u="1"/>
        <s v="11-Jul" u="1"/>
        <s v="12-Jul" u="1"/>
        <s v="13-Jul" u="1"/>
        <s v="14-Jul" u="1"/>
        <s v="15-Jul" u="1"/>
        <s v="16-Jul" u="1"/>
        <s v="17-Jul" u="1"/>
        <s v="18-Jul" u="1"/>
        <s v="19-Jul" u="1"/>
        <s v="20-Jul" u="1"/>
        <s v="21-Jul" u="1"/>
        <s v="22-Jul" u="1"/>
        <s v="23-Jul" u="1"/>
        <s v="24-Jul" u="1"/>
        <s v="25-Jul" u="1"/>
        <s v="26-Jul" u="1"/>
        <s v="27-Jul" u="1"/>
        <s v="28-Jul" u="1"/>
        <s v="29-Jul" u="1"/>
        <s v="30-Jul" u="1"/>
        <s v="31-Jul" u="1"/>
        <s v="1-May" u="1"/>
        <s v="2-May" u="1"/>
        <s v="3-May" u="1"/>
        <s v="4-May" u="1"/>
        <s v="5-May" u="1"/>
        <s v="6-May" u="1"/>
        <s v="7-May" u="1"/>
        <s v="8-May" u="1"/>
        <s v="9-May" u="1"/>
        <s v="10-May" u="1"/>
        <s v="11-May" u="1"/>
        <s v="12-May" u="1"/>
        <s v="13-May" u="1"/>
        <s v="14-May" u="1"/>
        <s v="15-May" u="1"/>
        <s v="16-May" u="1"/>
        <s v="17-May" u="1"/>
        <s v="18-May" u="1"/>
        <s v="19-May" u="1"/>
        <s v="20-May" u="1"/>
        <s v="21-May" u="1"/>
        <s v="22-May" u="1"/>
        <s v="23-May" u="1"/>
        <s v="24-May" u="1"/>
        <s v="25-May" u="1"/>
        <s v="26-May" u="1"/>
        <s v="27-May" u="1"/>
        <s v="28-May" u="1"/>
        <s v="29-May" u="1"/>
        <s v="30-May" u="1"/>
        <s v="31-May" u="1"/>
        <s v="1-Mar" u="1"/>
        <s v="2-Mar" u="1"/>
        <s v="3-Mar" u="1"/>
        <s v="4-Mar" u="1"/>
        <s v="5-Mar" u="1"/>
        <s v="6-Mar" u="1"/>
        <s v="7-Mar" u="1"/>
        <s v="8-Mar" u="1"/>
        <s v="9-Mar" u="1"/>
        <s v="10-Mar" u="1"/>
        <s v="11-Mar" u="1"/>
        <s v="12-Mar" u="1"/>
        <s v="13-Mar" u="1"/>
        <s v="14-Mar" u="1"/>
        <s v="15-Mar" u="1"/>
        <s v="16-Mar" u="1"/>
        <s v="17-Mar" u="1"/>
        <s v="18-Mar" u="1"/>
        <s v="19-Mar" u="1"/>
        <s v="20-Mar" u="1"/>
        <s v="21-Mar" u="1"/>
        <s v="22-Mar" u="1"/>
        <s v="23-Mar" u="1"/>
        <s v="24-Mar" u="1"/>
        <s v="25-Mar" u="1"/>
        <s v="26-Mar" u="1"/>
        <s v="27-Mar" u="1"/>
        <s v="28-Mar" u="1"/>
        <s v="29-Mar" u="1"/>
        <s v="30-Mar" u="1"/>
        <s v="31-Mar" u="1"/>
        <s v="1-Jan" u="1"/>
        <s v="2-Jan" u="1"/>
        <s v="3-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 v="1-Apr" u="1"/>
        <s v="2-Apr" u="1"/>
        <s v="3-Apr" u="1"/>
        <s v="4-Apr" u="1"/>
        <s v="5-Apr" u="1"/>
        <s v="6-Apr" u="1"/>
        <s v="7-Apr" u="1"/>
        <s v="8-Apr" u="1"/>
        <s v="9-Apr" u="1"/>
        <s v="10-Apr" u="1"/>
        <s v="11-Apr" u="1"/>
        <s v="12-Apr" u="1"/>
        <s v="13-Apr" u="1"/>
        <s v="14-Apr" u="1"/>
        <s v="15-Apr" u="1"/>
        <s v="16-Apr" u="1"/>
        <s v="17-Apr" u="1"/>
        <s v="18-Apr" u="1"/>
        <s v="19-Apr" u="1"/>
        <s v="20-Apr" u="1"/>
        <s v="21-Apr" u="1"/>
        <s v="22-Apr" u="1"/>
        <s v="23-Apr" u="1"/>
        <s v="24-Apr" u="1"/>
        <s v="25-Apr" u="1"/>
        <s v="26-Apr" u="1"/>
        <s v="27-Apr" u="1"/>
        <s v="28-Apr" u="1"/>
        <s v="29-Apr" u="1"/>
        <s v="30-Apr" u="1"/>
        <s v="1-Feb" u="1"/>
        <s v="2-Feb" u="1"/>
        <s v="3-Feb" u="1"/>
        <s v="4-Feb" u="1"/>
        <s v="5-Feb" u="1"/>
        <s v="6-Feb" u="1"/>
        <s v="7-Feb" u="1"/>
        <s v="8-Feb" u="1"/>
        <s v="9-Feb" u="1"/>
        <s v="10-Feb" u="1"/>
        <s v="11-Feb" u="1"/>
        <s v="12-Feb" u="1"/>
        <s v="13-Feb" u="1"/>
        <s v="14-Feb" u="1"/>
        <s v="15-Feb" u="1"/>
        <s v="16-Feb" u="1"/>
        <s v="17-Feb" u="1"/>
        <s v="18-Feb" u="1"/>
        <s v="19-Feb" u="1"/>
        <s v="20-Feb" u="1"/>
        <s v="21-Feb" u="1"/>
        <s v="22-Feb" u="1"/>
        <s v="23-Feb" u="1"/>
        <s v="24-Feb" u="1"/>
        <s v="25-Feb" u="1"/>
        <s v="26-Feb" u="1"/>
        <s v="27-Feb" u="1"/>
        <s v="28-Feb" u="1"/>
        <s v="29-Feb" u="1"/>
        <s v="1-Sep" u="1"/>
        <s v="2-Sep" u="1"/>
        <s v="3-Sep" u="1"/>
        <s v="4-Sep" u="1"/>
        <s v="5-Sep" u="1"/>
        <s v="6-Sep" u="1"/>
        <s v="7-Sep" u="1"/>
        <s v="8-Sep" u="1"/>
        <s v="9-Sep" u="1"/>
        <s v="10-Sep" u="1"/>
        <s v="11-Sep" u="1"/>
        <s v="12-Sep" u="1"/>
        <s v="13-Sep" u="1"/>
        <s v="14-Sep" u="1"/>
        <s v="15-Sep" u="1"/>
        <s v="16-Sep" u="1"/>
        <s v="17-Sep" u="1"/>
        <s v="18-Sep" u="1"/>
        <s v="19-Sep" u="1"/>
        <s v="20-Sep" u="1"/>
        <s v="21-Sep" u="1"/>
        <s v="22-Sep" u="1"/>
        <s v="23-Sep" u="1"/>
        <s v="24-Sep" u="1"/>
        <s v="25-Sep" u="1"/>
        <s v="26-Sep" u="1"/>
        <s v="27-Sep" u="1"/>
        <s v="28-Sep" u="1"/>
        <s v="29-Sep" u="1"/>
        <s v="30-Sep" u="1"/>
        <s v="1-Nov" u="1"/>
        <s v="2-Nov" u="1"/>
        <s v="3-Nov" u="1"/>
        <s v="4-Nov" u="1"/>
        <s v="5-Nov" u="1"/>
        <s v="6-Nov" u="1"/>
        <s v="7-Nov" u="1"/>
        <s v="8-Nov" u="1"/>
        <s v="9-Nov" u="1"/>
        <s v="10-Nov" u="1"/>
        <s v="11-Nov" u="1"/>
        <s v="12-Nov" u="1"/>
        <s v="13-Nov" u="1"/>
        <s v="14-Nov" u="1"/>
        <s v="15-Nov" u="1"/>
        <s v="16-Nov" u="1"/>
        <s v="17-Nov" u="1"/>
        <s v="18-Nov" u="1"/>
        <s v="19-Nov" u="1"/>
        <s v="20-Nov" u="1"/>
        <s v="21-Nov" u="1"/>
        <s v="22-Nov" u="1"/>
        <s v="23-Nov" u="1"/>
        <s v="24-Nov" u="1"/>
        <s v="25-Nov" u="1"/>
        <s v="26-Nov" u="1"/>
        <s v="27-Nov" u="1"/>
        <s v="28-Nov" u="1"/>
        <s v="29-Nov" u="1"/>
        <s v="30-Nov" u="1"/>
        <s v="1-Dec" u="1"/>
        <s v="2-Dec" u="1"/>
        <s v="3-Dec" u="1"/>
        <s v="4-Dec" u="1"/>
        <s v="5-Dec" u="1"/>
        <s v="6-Dec" u="1"/>
        <s v="7-Dec" u="1"/>
        <s v="8-Dec" u="1"/>
        <s v="9-Dec" u="1"/>
        <s v="10-Dec" u="1"/>
        <s v="11-Dec" u="1"/>
        <s v="12-Dec" u="1"/>
        <s v="13-Dec" u="1"/>
        <s v="14-Dec" u="1"/>
        <s v="15-Dec" u="1"/>
        <s v="16-Dec" u="1"/>
        <s v="17-Dec" u="1"/>
        <s v="18-Dec" u="1"/>
        <s v="19-Dec" u="1"/>
        <s v="20-Dec" u="1"/>
        <s v="21-Dec" u="1"/>
        <s v="22-Dec" u="1"/>
        <s v="23-Dec" u="1"/>
        <s v="24-Dec" u="1"/>
        <s v="25-Dec" u="1"/>
        <s v="26-Dec" u="1"/>
        <s v="27-Dec" u="1"/>
        <s v="28-Dec" u="1"/>
        <s v="29-Dec" u="1"/>
        <s v="30-Dec" u="1"/>
        <s v="31-Dec" u="1"/>
      </sharedItems>
    </cacheField>
    <cacheField name="[Calendar Table].[Date (Month)].[Date (Month)]" caption="Date (Month)" numFmtId="0" hierarchy="1" level="1">
      <sharedItems count="12">
        <s v="Aug"/>
        <s v="Oct" u="1"/>
        <s v="Jun" u="1"/>
        <s v="Jul" u="1"/>
        <s v="May" u="1"/>
        <s v="Mar" u="1"/>
        <s v="Jan" u="1"/>
        <s v="Apr" u="1"/>
        <s v="Feb" u="1"/>
        <s v="Sep" u="1"/>
        <s v="Nov" u="1"/>
        <s v="Dec" u="1"/>
      </sharedItems>
    </cacheField>
    <cacheField name="[Measures].[Average of Patient Waittime]" caption="Average of Patient Waittime" numFmtId="0" hierarchy="25" level="32767"/>
    <cacheField name="[Calendar Table].[Date (Year)].[Date (Year)]" caption="Date (Year)" numFmtId="0" hierarchy="3" level="1">
      <sharedItems count="1">
        <s v="2023"/>
      </sharedItems>
    </cacheField>
  </cacheFields>
  <cacheHierarchies count="28">
    <cacheHierarchy uniqueName="[Calendar Table].[Date]" caption="Date" attribute="1" time="1" defaultMemberUniqueName="[Calendar Table].[Date].[All]" allUniqueName="[Calendar Table].[Date].[All]" dimensionUniqueName="[Calendar Table]" displayFolder="" count="2" memberValueDatatype="7" unbalanced="0">
      <fieldsUsage count="2">
        <fieldUsage x="-1"/>
        <fieldUsage x="0"/>
      </fieldsUsage>
    </cacheHierarchy>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1"/>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4"/>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omoy Halder" refreshedDate="46272.527997916666" backgroundQuery="1" createdVersion="8" refreshedVersion="8" minRefreshableVersion="3" recordCount="0" supportSubquery="1" supportAdvancedDrill="1" xr:uid="{E7101AA8-833F-4E51-AFA4-8F890776058A}">
  <cacheSource type="external" connectionId="3"/>
  <cacheFields count="3">
    <cacheField name="[Measures].[Average of Patient Waittime]" caption="Average of Patient Waittime" numFmtId="0" hierarchy="25" level="32767"/>
    <cacheField name="[Calendar Table].[Date (Year)].[Date (Year)]" caption="Date (Year)" numFmtId="0" hierarchy="3" level="1">
      <sharedItems containsSemiMixedTypes="0" containsNonDate="0" containsString="0"/>
    </cacheField>
    <cacheField name="[Calendar Table].[Date (Month)].[Date (Month)]" caption="Date (Month)" numFmtId="0" hierarchy="1" level="1">
      <sharedItems containsSemiMixedTypes="0" containsNonDate="0" containsString="0"/>
    </cacheField>
  </cacheFields>
  <cacheHierarchies count="28">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1"/>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omoy Halder" refreshedDate="46272.527998611113" backgroundQuery="1" createdVersion="8" refreshedVersion="8" minRefreshableVersion="3" recordCount="0" supportSubquery="1" supportAdvancedDrill="1" xr:uid="{188CDC47-D443-4BDE-9EAF-6FDA51ADB725}">
  <cacheSource type="external" connectionId="3"/>
  <cacheFields count="3">
    <cacheField name="[Measures].[Average of Patient Satisfaction Score]" caption="Average of Patient Satisfaction Score" numFmtId="0" hierarchy="27" level="32767"/>
    <cacheField name="[Calendar Table].[Date (Year)].[Date (Year)]" caption="Date (Year)" numFmtId="0" hierarchy="3" level="1">
      <sharedItems containsSemiMixedTypes="0" containsNonDate="0" containsString="0"/>
    </cacheField>
    <cacheField name="[Calendar Table].[Date (Month)].[Date (Month)]" caption="Date (Month)" numFmtId="0" hierarchy="1" level="1">
      <sharedItems containsSemiMixedTypes="0" containsNonDate="0" containsString="0"/>
    </cacheField>
  </cacheFields>
  <cacheHierarchies count="28">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1"/>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omoy Halder" refreshedDate="46272.527999537037" backgroundQuery="1" createdVersion="8" refreshedVersion="8" minRefreshableVersion="3" recordCount="0" supportSubquery="1" supportAdvancedDrill="1" xr:uid="{6C2FB194-6A19-4C32-9203-44DB0D859015}">
  <cacheSource type="external" connectionId="3"/>
  <cacheFields count="5">
    <cacheField name="[Measures].[Distinct Count of Patient Id]" caption="Distinct Count of Patient Id" numFmtId="0" hierarchy="23" level="32767"/>
    <cacheField name="[Calendar Table].[Date].[Date]" caption="Date" numFmtId="0" level="1">
      <sharedItems containsSemiMixedTypes="0" containsNonDate="0" containsDate="1" containsString="0" minDate="2023-04-01T00:00:00" maxDate="2024-10-31T00:00:00" count="579">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sharedItems>
    </cacheField>
    <cacheField name="[Calendar 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ar Table].[Date (Month)].[Date (Month)]" caption="Date (Month)" numFmtId="0" hierarchy="1" level="1">
      <sharedItems count="1">
        <s v="Aug"/>
      </sharedItems>
    </cacheField>
    <cacheField name="[Calendar Table].[Date (Year)].[Date (Year)]" caption="Date (Year)" numFmtId="0" hierarchy="3" level="1">
      <sharedItems count="1">
        <s v="2023"/>
      </sharedItems>
    </cacheField>
  </cacheFields>
  <cacheHierarchies count="28">
    <cacheHierarchy uniqueName="[Calendar Table].[Date]" caption="Date" attribute="1" time="1" defaultMemberUniqueName="[Calendar Table].[Date].[All]" allUniqueName="[Calendar Table].[Date].[All]" dimensionUniqueName="[Calendar Table]" displayFolder="" count="2" memberValueDatatype="7" unbalanced="0">
      <fieldsUsage count="2">
        <fieldUsage x="-1"/>
        <fieldUsage x="1"/>
      </fieldsUsage>
    </cacheHierarchy>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3"/>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2"/>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4"/>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omoy Halder" refreshedDate="46272.528001041668" backgroundQuery="1" createdVersion="8" refreshedVersion="8" minRefreshableVersion="3" recordCount="0" supportSubquery="1" supportAdvancedDrill="1" xr:uid="{4AD65AB5-BB26-42B9-984A-6410D597C6A3}">
  <cacheSource type="external" connectionId="3"/>
  <cacheFields count="5">
    <cacheField name="[Calendar Table].[Date].[Date]" caption="Date" numFmtId="0" level="1">
      <sharedItems containsSemiMixedTypes="0" containsNonDate="0" containsDate="1" containsString="0" minDate="2023-04-01T00:00:00" maxDate="2024-10-31T00:00:00" count="57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2T00:00:00"/>
        <d v="2024-04-03T00:00:00"/>
        <d v="2024-04-04T00:00:00"/>
        <d v="2024-04-05T00:00:00"/>
        <d v="2024-04-06T00:00:00"/>
        <d v="2024-04-07T00:00:00"/>
        <d v="2024-04-08T00:00:00"/>
        <d v="2024-04-09T00:00:00"/>
        <d v="2024-04-11T00:00:00"/>
        <d v="2024-04-12T00:00:00"/>
        <d v="2024-04-13T00:00:00"/>
        <d v="2024-04-14T00:00:00"/>
        <d v="2024-04-15T00:00:00"/>
        <d v="2024-04-16T00:00:00"/>
        <d v="2024-04-17T00:00:00"/>
        <d v="2024-04-18T00:00:00"/>
        <d v="2024-04-19T00:00:00"/>
        <d v="2024-04-20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sharedItems>
    </cacheField>
    <cacheField name="[Calendar Table].[Date (Day)].[Date (Day)]" caption="Date (Day)" numFmtId="0" hierarchy="2" level="1">
      <sharedItems count="363">
        <s v="1-Aug"/>
        <s v="2-Aug"/>
        <s v="3-Aug"/>
        <s v="4-Aug"/>
        <s v="5-Aug"/>
        <s v="6-Aug"/>
        <s v="7-Aug"/>
        <s v="8-Aug"/>
        <s v="9-Aug"/>
        <s v="10-Aug"/>
        <s v="11-Aug"/>
        <s v="12-Aug"/>
        <s v="13-Aug"/>
        <s v="14-Aug"/>
        <s v="15-Aug"/>
        <s v="16-Aug"/>
        <s v="17-Aug"/>
        <s v="18-Aug"/>
        <s v="19-Aug"/>
        <s v="20-Aug"/>
        <s v="21-Aug"/>
        <s v="22-Aug"/>
        <s v="23-Aug"/>
        <s v="24-Aug"/>
        <s v="25-Aug"/>
        <s v="26-Aug"/>
        <s v="27-Aug"/>
        <s v="28-Aug"/>
        <s v="29-Aug"/>
        <s v="30-Aug"/>
        <s v="31-Aug"/>
        <s v="1-Oct" u="1"/>
        <s v="2-Oct" u="1"/>
        <s v="3-Oct" u="1"/>
        <s v="4-Oct" u="1"/>
        <s v="5-Oct" u="1"/>
        <s v="6-Oct" u="1"/>
        <s v="7-Oct" u="1"/>
        <s v="8-Oct" u="1"/>
        <s v="9-Oct" u="1"/>
        <s v="10-Oct" u="1"/>
        <s v="11-Oct" u="1"/>
        <s v="12-Oct" u="1"/>
        <s v="13-Oct" u="1"/>
        <s v="14-Oct" u="1"/>
        <s v="15-Oct" u="1"/>
        <s v="16-Oct" u="1"/>
        <s v="17-Oct" u="1"/>
        <s v="18-Oct" u="1"/>
        <s v="19-Oct" u="1"/>
        <s v="20-Oct" u="1"/>
        <s v="21-Oct" u="1"/>
        <s v="22-Oct" u="1"/>
        <s v="23-Oct" u="1"/>
        <s v="24-Oct" u="1"/>
        <s v="25-Oct" u="1"/>
        <s v="26-Oct" u="1"/>
        <s v="27-Oct" u="1"/>
        <s v="28-Oct" u="1"/>
        <s v="29-Oct" u="1"/>
        <s v="30-Oct" u="1"/>
        <s v="31-Oct" u="1"/>
        <s v="1-Jun" u="1"/>
        <s v="2-Jun" u="1"/>
        <s v="3-Jun" u="1"/>
        <s v="4-Jun" u="1"/>
        <s v="5-Jun" u="1"/>
        <s v="6-Jun" u="1"/>
        <s v="7-Jun" u="1"/>
        <s v="8-Jun" u="1"/>
        <s v="9-Jun" u="1"/>
        <s v="10-Jun" u="1"/>
        <s v="11-Jun" u="1"/>
        <s v="12-Jun" u="1"/>
        <s v="13-Jun" u="1"/>
        <s v="14-Jun" u="1"/>
        <s v="15-Jun" u="1"/>
        <s v="16-Jun" u="1"/>
        <s v="17-Jun" u="1"/>
        <s v="18-Jun" u="1"/>
        <s v="19-Jun" u="1"/>
        <s v="20-Jun" u="1"/>
        <s v="21-Jun" u="1"/>
        <s v="22-Jun" u="1"/>
        <s v="23-Jun" u="1"/>
        <s v="24-Jun" u="1"/>
        <s v="25-Jun" u="1"/>
        <s v="26-Jun" u="1"/>
        <s v="27-Jun" u="1"/>
        <s v="28-Jun" u="1"/>
        <s v="29-Jun" u="1"/>
        <s v="30-Jun" u="1"/>
        <s v="1-Jul" u="1"/>
        <s v="2-Jul" u="1"/>
        <s v="3-Jul" u="1"/>
        <s v="4-Jul" u="1"/>
        <s v="5-Jul" u="1"/>
        <s v="6-Jul" u="1"/>
        <s v="7-Jul" u="1"/>
        <s v="8-Jul" u="1"/>
        <s v="9-Jul" u="1"/>
        <s v="10-Jul" u="1"/>
        <s v="11-Jul" u="1"/>
        <s v="12-Jul" u="1"/>
        <s v="13-Jul" u="1"/>
        <s v="14-Jul" u="1"/>
        <s v="15-Jul" u="1"/>
        <s v="16-Jul" u="1"/>
        <s v="17-Jul" u="1"/>
        <s v="18-Jul" u="1"/>
        <s v="19-Jul" u="1"/>
        <s v="20-Jul" u="1"/>
        <s v="21-Jul" u="1"/>
        <s v="22-Jul" u="1"/>
        <s v="23-Jul" u="1"/>
        <s v="24-Jul" u="1"/>
        <s v="25-Jul" u="1"/>
        <s v="26-Jul" u="1"/>
        <s v="27-Jul" u="1"/>
        <s v="28-Jul" u="1"/>
        <s v="29-Jul" u="1"/>
        <s v="30-Jul" u="1"/>
        <s v="31-Jul" u="1"/>
        <s v="1-May" u="1"/>
        <s v="2-May" u="1"/>
        <s v="3-May" u="1"/>
        <s v="4-May" u="1"/>
        <s v="5-May" u="1"/>
        <s v="6-May" u="1"/>
        <s v="7-May" u="1"/>
        <s v="8-May" u="1"/>
        <s v="9-May" u="1"/>
        <s v="10-May" u="1"/>
        <s v="11-May" u="1"/>
        <s v="12-May" u="1"/>
        <s v="13-May" u="1"/>
        <s v="14-May" u="1"/>
        <s v="15-May" u="1"/>
        <s v="16-May" u="1"/>
        <s v="17-May" u="1"/>
        <s v="18-May" u="1"/>
        <s v="19-May" u="1"/>
        <s v="20-May" u="1"/>
        <s v="21-May" u="1"/>
        <s v="22-May" u="1"/>
        <s v="23-May" u="1"/>
        <s v="24-May" u="1"/>
        <s v="25-May" u="1"/>
        <s v="26-May" u="1"/>
        <s v="27-May" u="1"/>
        <s v="28-May" u="1"/>
        <s v="29-May" u="1"/>
        <s v="30-May" u="1"/>
        <s v="31-May" u="1"/>
        <s v="1-Mar" u="1"/>
        <s v="2-Mar" u="1"/>
        <s v="3-Mar" u="1"/>
        <s v="4-Mar" u="1"/>
        <s v="5-Mar" u="1"/>
        <s v="6-Mar" u="1"/>
        <s v="7-Mar" u="1"/>
        <s v="8-Mar" u="1"/>
        <s v="9-Mar" u="1"/>
        <s v="10-Mar" u="1"/>
        <s v="11-Mar" u="1"/>
        <s v="12-Mar" u="1"/>
        <s v="13-Mar" u="1"/>
        <s v="14-Mar" u="1"/>
        <s v="15-Mar" u="1"/>
        <s v="16-Mar" u="1"/>
        <s v="17-Mar" u="1"/>
        <s v="18-Mar" u="1"/>
        <s v="19-Mar" u="1"/>
        <s v="20-Mar" u="1"/>
        <s v="21-Mar" u="1"/>
        <s v="22-Mar" u="1"/>
        <s v="23-Mar" u="1"/>
        <s v="24-Mar" u="1"/>
        <s v="25-Mar" u="1"/>
        <s v="26-Mar" u="1"/>
        <s v="27-Mar" u="1"/>
        <s v="28-Mar" u="1"/>
        <s v="29-Mar" u="1"/>
        <s v="30-Mar" u="1"/>
        <s v="31-Mar" u="1"/>
        <s v="1-Jan" u="1"/>
        <s v="2-Jan" u="1"/>
        <s v="3-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 v="2-Apr" u="1"/>
        <s v="3-Apr" u="1"/>
        <s v="4-Apr" u="1"/>
        <s v="5-Apr" u="1"/>
        <s v="6-Apr" u="1"/>
        <s v="7-Apr" u="1"/>
        <s v="8-Apr" u="1"/>
        <s v="9-Apr" u="1"/>
        <s v="11-Apr" u="1"/>
        <s v="12-Apr" u="1"/>
        <s v="13-Apr" u="1"/>
        <s v="14-Apr" u="1"/>
        <s v="15-Apr" u="1"/>
        <s v="16-Apr" u="1"/>
        <s v="17-Apr" u="1"/>
        <s v="18-Apr" u="1"/>
        <s v="19-Apr" u="1"/>
        <s v="20-Apr" u="1"/>
        <s v="22-Apr" u="1"/>
        <s v="23-Apr" u="1"/>
        <s v="24-Apr" u="1"/>
        <s v="25-Apr" u="1"/>
        <s v="26-Apr" u="1"/>
        <s v="27-Apr" u="1"/>
        <s v="28-Apr" u="1"/>
        <s v="29-Apr" u="1"/>
        <s v="30-Apr" u="1"/>
        <s v="1-Feb" u="1"/>
        <s v="2-Feb" u="1"/>
        <s v="3-Feb" u="1"/>
        <s v="4-Feb" u="1"/>
        <s v="5-Feb" u="1"/>
        <s v="6-Feb" u="1"/>
        <s v="7-Feb" u="1"/>
        <s v="8-Feb" u="1"/>
        <s v="9-Feb" u="1"/>
        <s v="10-Feb" u="1"/>
        <s v="11-Feb" u="1"/>
        <s v="12-Feb" u="1"/>
        <s v="13-Feb" u="1"/>
        <s v="14-Feb" u="1"/>
        <s v="15-Feb" u="1"/>
        <s v="16-Feb" u="1"/>
        <s v="17-Feb" u="1"/>
        <s v="18-Feb" u="1"/>
        <s v="19-Feb" u="1"/>
        <s v="20-Feb" u="1"/>
        <s v="21-Feb" u="1"/>
        <s v="22-Feb" u="1"/>
        <s v="23-Feb" u="1"/>
        <s v="24-Feb" u="1"/>
        <s v="25-Feb" u="1"/>
        <s v="27-Feb" u="1"/>
        <s v="28-Feb" u="1"/>
        <s v="29-Feb" u="1"/>
        <s v="1-Sep" u="1"/>
        <s v="2-Sep" u="1"/>
        <s v="3-Sep" u="1"/>
        <s v="4-Sep" u="1"/>
        <s v="5-Sep" u="1"/>
        <s v="6-Sep" u="1"/>
        <s v="7-Sep" u="1"/>
        <s v="8-Sep" u="1"/>
        <s v="9-Sep" u="1"/>
        <s v="10-Sep" u="1"/>
        <s v="11-Sep" u="1"/>
        <s v="12-Sep" u="1"/>
        <s v="13-Sep" u="1"/>
        <s v="14-Sep" u="1"/>
        <s v="15-Sep" u="1"/>
        <s v="16-Sep" u="1"/>
        <s v="17-Sep" u="1"/>
        <s v="18-Sep" u="1"/>
        <s v="19-Sep" u="1"/>
        <s v="20-Sep" u="1"/>
        <s v="21-Sep" u="1"/>
        <s v="23-Sep" u="1"/>
        <s v="24-Sep" u="1"/>
        <s v="25-Sep" u="1"/>
        <s v="26-Sep" u="1"/>
        <s v="27-Sep" u="1"/>
        <s v="28-Sep" u="1"/>
        <s v="29-Sep" u="1"/>
        <s v="30-Sep" u="1"/>
        <s v="1-Apr" u="1"/>
        <s v="10-Apr" u="1"/>
        <s v="21-Apr" u="1"/>
        <s v="22-Sep" u="1"/>
        <s v="1-Nov" u="1"/>
        <s v="2-Nov" u="1"/>
        <s v="3-Nov" u="1"/>
        <s v="4-Nov" u="1"/>
        <s v="5-Nov" u="1"/>
        <s v="6-Nov" u="1"/>
        <s v="7-Nov" u="1"/>
        <s v="8-Nov" u="1"/>
        <s v="9-Nov" u="1"/>
        <s v="10-Nov" u="1"/>
        <s v="11-Nov" u="1"/>
        <s v="12-Nov" u="1"/>
        <s v="13-Nov" u="1"/>
        <s v="14-Nov" u="1"/>
        <s v="15-Nov" u="1"/>
        <s v="16-Nov" u="1"/>
        <s v="17-Nov" u="1"/>
        <s v="18-Nov" u="1"/>
        <s v="19-Nov" u="1"/>
        <s v="20-Nov" u="1"/>
        <s v="21-Nov" u="1"/>
        <s v="22-Nov" u="1"/>
        <s v="23-Nov" u="1"/>
        <s v="24-Nov" u="1"/>
        <s v="25-Nov" u="1"/>
        <s v="26-Nov" u="1"/>
        <s v="27-Nov" u="1"/>
        <s v="28-Nov" u="1"/>
        <s v="29-Nov" u="1"/>
        <s v="30-Nov" u="1"/>
        <s v="1-Dec" u="1"/>
        <s v="2-Dec" u="1"/>
        <s v="3-Dec" u="1"/>
        <s v="4-Dec" u="1"/>
        <s v="5-Dec" u="1"/>
        <s v="6-Dec" u="1"/>
        <s v="8-Dec" u="1"/>
        <s v="9-Dec" u="1"/>
        <s v="10-Dec" u="1"/>
        <s v="11-Dec" u="1"/>
        <s v="12-Dec" u="1"/>
        <s v="13-Dec" u="1"/>
        <s v="14-Dec" u="1"/>
        <s v="15-Dec" u="1"/>
        <s v="16-Dec" u="1"/>
        <s v="17-Dec" u="1"/>
        <s v="18-Dec" u="1"/>
        <s v="19-Dec" u="1"/>
        <s v="20-Dec" u="1"/>
        <s v="21-Dec" u="1"/>
        <s v="22-Dec" u="1"/>
        <s v="23-Dec" u="1"/>
        <s v="24-Dec" u="1"/>
        <s v="25-Dec" u="1"/>
        <s v="26-Dec" u="1"/>
        <s v="27-Dec" u="1"/>
        <s v="28-Dec" u="1"/>
        <s v="29-Dec" u="1"/>
        <s v="30-Dec" u="1"/>
      </sharedItems>
    </cacheField>
    <cacheField name="[Calendar Table].[Date (Month)].[Date (Month)]" caption="Date (Month)" numFmtId="0" hierarchy="1" level="1">
      <sharedItems count="12">
        <s v="Aug"/>
        <s v="Oct" u="1"/>
        <s v="Jun" u="1"/>
        <s v="Jul" u="1"/>
        <s v="May" u="1"/>
        <s v="Mar" u="1"/>
        <s v="Jan" u="1"/>
        <s v="Apr" u="1"/>
        <s v="Feb" u="1"/>
        <s v="Sep" u="1"/>
        <s v="Nov" u="1"/>
        <s v="Dec" u="1"/>
      </sharedItems>
    </cacheField>
    <cacheField name="[Measures].[Average of Patient Satisfaction Score]" caption="Average of Patient Satisfaction Score" numFmtId="0" hierarchy="27" level="32767"/>
    <cacheField name="[Calendar Table].[Date (Year)].[Date (Year)]" caption="Date (Year)" numFmtId="0" hierarchy="3" level="1">
      <sharedItems count="1">
        <s v="2023"/>
      </sharedItems>
    </cacheField>
  </cacheFields>
  <cacheHierarchies count="28">
    <cacheHierarchy uniqueName="[Calendar Table].[Date]" caption="Date" attribute="1" time="1" defaultMemberUniqueName="[Calendar Table].[Date].[All]" allUniqueName="[Calendar Table].[Date].[All]" dimensionUniqueName="[Calendar Table]" displayFolder="" count="2" memberValueDatatype="7" unbalanced="0">
      <fieldsUsage count="2">
        <fieldUsage x="-1"/>
        <fieldUsage x="0"/>
      </fieldsUsage>
    </cacheHierarchy>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1"/>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4"/>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3"/>
      </fieldsUsage>
      <extLst>
        <ext xmlns:x15="http://schemas.microsoft.com/office/spreadsheetml/2010/11/main" uri="{B97F6D7D-B522-45F9-BDA1-12C45D357490}">
          <x15:cacheHierarchy aggregatedColumn="13"/>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omoy Halder" refreshedDate="46272.528001967592" backgroundQuery="1" createdVersion="8" refreshedVersion="8" minRefreshableVersion="3" recordCount="0" supportSubquery="1" supportAdvancedDrill="1" xr:uid="{2AA8D249-E6A1-4CB0-AD9C-F13D8EA11A3D}">
  <cacheSource type="external" connectionId="3"/>
  <cacheFields count="4">
    <cacheField name="[Measures].[Distinct Count of Patient Id]" caption="Distinct Count of Patient Id" numFmtId="0" hierarchy="23" level="32767"/>
    <cacheField name="[Hospital Emergency Room Data].[Patient Age Group].[Patient Age Group]" caption="Patient Age Group" numFmtId="0" hierarchy="15" level="1">
      <sharedItems count="8">
        <s v="00 - 09"/>
        <s v="10 - 19"/>
        <s v="20 - 29"/>
        <s v="30 - 39"/>
        <s v="40 - 49"/>
        <s v="50 - 59"/>
        <s v="60 - 69"/>
        <s v="70 - 79"/>
      </sharedItems>
    </cacheField>
    <cacheField name="[Calendar Table].[Date (Year)].[Date (Year)]" caption="Date (Year)" numFmtId="0" hierarchy="3" level="1">
      <sharedItems containsSemiMixedTypes="0" containsNonDate="0" containsString="0"/>
    </cacheField>
    <cacheField name="[Calendar Table].[Date (Month)].[Date (Month)]" caption="Date (Month)" numFmtId="0" hierarchy="1" level="1">
      <sharedItems containsSemiMixedTypes="0" containsNonDate="0" containsString="0"/>
    </cacheField>
  </cacheFields>
  <cacheHierarchies count="28">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3"/>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omoy Halder" refreshedDate="46272.528002777777" backgroundQuery="1" createdVersion="8" refreshedVersion="8" minRefreshableVersion="3" recordCount="0" supportSubquery="1" supportAdvancedDrill="1" xr:uid="{D38DB945-2098-47C0-9F75-603D4E9E371B}">
  <cacheSource type="external" connectionId="3"/>
  <cacheFields count="4">
    <cacheField name="[Measures].[Distinct Count of Patient Id]" caption="Distinct Count of Patient Id" numFmtId="0" hierarchy="23" level="32767"/>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 name="[Calendar Table].[Date (Year)].[Date (Year)]" caption="Date (Year)" numFmtId="0" hierarchy="3" level="1">
      <sharedItems containsSemiMixedTypes="0" containsNonDate="0" containsString="0"/>
    </cacheField>
    <cacheField name="[Calendar Table].[Date (Month)].[Date (Month)]" caption="Date (Month)" numFmtId="0" hierarchy="1" level="1">
      <sharedItems containsSemiMixedTypes="0" containsNonDate="0" containsString="0"/>
    </cacheField>
  </cacheFields>
  <cacheHierarchies count="28">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3"/>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omoy Halder" refreshedDate="46272.528003703701" backgroundQuery="1" createdVersion="8" refreshedVersion="8" minRefreshableVersion="3" recordCount="0" supportSubquery="1" supportAdvancedDrill="1" xr:uid="{B95B0278-7441-4AE2-A5DA-A79856D8AFDC}">
  <cacheSource type="external" connectionId="3"/>
  <cacheFields count="4">
    <cacheField name="[Hospital Emergency Room Data].[Patient Attend Status].[Patient Attend Status]" caption="Patient Attend Status" numFmtId="0" hierarchy="16" level="1">
      <sharedItems count="2">
        <s v="Delay"/>
        <s v="On Time"/>
      </sharedItems>
    </cacheField>
    <cacheField name="[Measures].[Count of Patient Id]" caption="Count of Patient Id" numFmtId="0" hierarchy="22" level="32767"/>
    <cacheField name="[Calendar Table].[Date (Year)].[Date (Year)]" caption="Date (Year)" numFmtId="0" hierarchy="3" level="1">
      <sharedItems containsSemiMixedTypes="0" containsNonDate="0" containsString="0"/>
    </cacheField>
    <cacheField name="[Calendar Table].[Date (Month)].[Date (Month)]" caption="Date (Month)" numFmtId="0" hierarchy="1" level="1">
      <sharedItems containsSemiMixedTypes="0" containsNonDate="0" containsString="0"/>
    </cacheField>
  </cacheFields>
  <cacheHierarchies count="28">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3"/>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0"/>
      </fieldsUsage>
    </cacheHierarchy>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omoy Halder" refreshedDate="46272.528004629632" backgroundQuery="1" createdVersion="8" refreshedVersion="8" minRefreshableVersion="3" recordCount="0" supportSubquery="1" supportAdvancedDrill="1" xr:uid="{59136C8F-8EEF-4C07-A383-C99941CFCDD9}">
  <cacheSource type="external" connectionId="3"/>
  <cacheFields count="4">
    <cacheField name="[Measures].[Count of Patient Id]" caption="Count of Patient Id" numFmtId="0" hierarchy="22" level="32767"/>
    <cacheField name="[Hospital Emergency Room Data].[Patient Gender].[Patient Gender]" caption="Patient Gender" numFmtId="0" hierarchy="8" level="1">
      <sharedItems count="2">
        <s v="Female"/>
        <s v="Male"/>
      </sharedItems>
    </cacheField>
    <cacheField name="[Calendar Table].[Date (Year)].[Date (Year)]" caption="Date (Year)" numFmtId="0" hierarchy="3" level="1">
      <sharedItems containsSemiMixedTypes="0" containsNonDate="0" containsString="0"/>
    </cacheField>
    <cacheField name="[Calendar Table].[Date (Month)].[Date (Month)]" caption="Date (Month)" numFmtId="0" hierarchy="1" level="1">
      <sharedItems containsSemiMixedTypes="0" containsNonDate="0" containsString="0"/>
    </cacheField>
  </cacheFields>
  <cacheHierarchies count="28">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3"/>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omoy Halder" refreshedDate="46272.528005555556" backgroundQuery="1" createdVersion="8" refreshedVersion="8" minRefreshableVersion="3" recordCount="0" supportSubquery="1" supportAdvancedDrill="1" xr:uid="{D2DA0E11-D02F-4703-B7CC-D4E07F9AA292}">
  <cacheSource type="external" connectionId="3"/>
  <cacheFields count="5">
    <cacheField name="[Measures].[Count of Patient Id]" caption="Count of Patient Id" numFmtId="0" hierarchy="22" level="32767"/>
    <cacheField name="[Hospital Emergency Room Data].[Patient Admission Flag].[Patient Admission Flag]" caption="Patient Admission Flag" numFmtId="0" hierarchy="12" level="1">
      <sharedItems count="2">
        <s v="Admitted"/>
        <s v="Not Admitted"/>
      </sharedItems>
    </cacheField>
    <cacheField name="[Calendar Table].[Date (Year)].[Date (Year)]" caption="Date (Year)" numFmtId="0" hierarchy="3" level="1">
      <sharedItems containsSemiMixedTypes="0" containsNonDate="0" containsString="0"/>
    </cacheField>
    <cacheField name="[Calendar Table].[Date (Month)].[Date (Month)]" caption="Date (Month)" numFmtId="0" hierarchy="1" level="1">
      <sharedItems containsSemiMixedTypes="0" containsNonDate="0" containsString="0"/>
    </cacheField>
    <cacheField name="Unsupported0" numFmtId="0" hierarchy="28" level="32767">
      <extLst>
        <ext xmlns:x14="http://schemas.microsoft.com/office/spreadsheetml/2009/9/main" uri="{63CAB8AC-B538-458d-9737-405883B0398D}">
          <x14:cacheField ignore="1"/>
        </ext>
      </extLst>
    </cacheField>
  </cacheFields>
  <cacheHierarchies count="29">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3"/>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omoy Halder" refreshedDate="46272.52800648148" backgroundQuery="1" createdVersion="8" refreshedVersion="8" minRefreshableVersion="3" recordCount="0" supportSubquery="1" supportAdvancedDrill="1" xr:uid="{B9CB3CAE-A460-4B1B-805E-854DB0EEC57A}">
  <cacheSource type="external" connectionId="3"/>
  <cacheFields count="4">
    <cacheField name="[Measures].[Count of Patient Id]" caption="Count of Patient Id" numFmtId="0" hierarchy="22" level="32767"/>
    <cacheField name="[Hospital Emergency Room Data].[Patient Admission Flag].[Patient Admission Flag]" caption="Patient Admission Flag" numFmtId="0" hierarchy="12" level="1">
      <sharedItems count="2">
        <s v="Admitted"/>
        <s v="Not Admitted"/>
      </sharedItems>
    </cacheField>
    <cacheField name="[Calendar Table].[Date (Year)].[Date (Year)]" caption="Date (Year)" numFmtId="0" hierarchy="3" level="1">
      <sharedItems containsSemiMixedTypes="0" containsNonDate="0" containsString="0"/>
    </cacheField>
    <cacheField name="[Calendar Table].[Date (Month)].[Date (Month)]" caption="Date (Month)" numFmtId="0" hierarchy="1" level="1">
      <sharedItems containsSemiMixedTypes="0" containsNonDate="0" containsString="0"/>
    </cacheField>
  </cacheFields>
  <cacheHierarchies count="28">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3"/>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omoy Halder" refreshedDate="46272.528007060188" backgroundQuery="1" createdVersion="8" refreshedVersion="8" minRefreshableVersion="3" recordCount="0" supportSubquery="1" supportAdvancedDrill="1" xr:uid="{ECC60D91-DA2D-4CBF-B96D-F533A705D91F}">
  <cacheSource type="external" connectionId="3"/>
  <cacheFields count="3">
    <cacheField name="[Measures].[Distinct Count of Patient Id]" caption="Distinct Count of Patient Id" numFmtId="0" hierarchy="23" level="32767"/>
    <cacheField name="[Calendar Table].[Date (Year)].[Date (Year)]" caption="Date (Year)" numFmtId="0" hierarchy="3" level="1">
      <sharedItems containsSemiMixedTypes="0" containsNonDate="0" containsString="0"/>
    </cacheField>
    <cacheField name="[Calendar Table].[Date (Month)].[Date (Month)]" caption="Date (Month)" numFmtId="0" hierarchy="1" level="1">
      <sharedItems containsSemiMixedTypes="0" containsNonDate="0" containsString="0"/>
    </cacheField>
  </cacheFields>
  <cacheHierarchies count="28">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1"/>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omoy Halder" refreshedDate="46272.527995833334" backgroundQuery="1" createdVersion="3" refreshedVersion="8" minRefreshableVersion="3" recordCount="0" supportSubquery="1" supportAdvancedDrill="1" xr:uid="{0EEBC655-19AB-408E-A40F-3E6842E458ED}">
  <cacheSource type="external" connectionId="3">
    <extLst>
      <ext xmlns:x14="http://schemas.microsoft.com/office/spreadsheetml/2009/9/main" uri="{F057638F-6D5F-4e77-A914-E7F072B9BCA8}">
        <x14:sourceConnection name="ThisWorkbookDataModel"/>
      </ext>
    </extLst>
  </cacheSource>
  <cacheFields count="0"/>
  <cacheHierarchies count="28">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9457428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ED2D93-0EFC-4346-84D8-2BDED87F93A2}" name="PivotTable1" cacheId="11" applyNumberFormats="0" applyBorderFormats="0" applyFontFormats="0" applyPatternFormats="0" applyAlignmentFormats="0" applyWidthHeightFormats="1" dataCaption="Values" tag="d34f7b65-c715-4851-b8cf-478c31f315a2" updatedVersion="8" minRefreshableVersion="3" subtotalHiddenItems="1" itemPrintTitles="1" createdVersion="8" indent="0" outline="1" outlineData="1" multipleFieldFilters="0">
  <location ref="B5:B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28">
    <pivotHierarchy dragToData="1"/>
    <pivotHierarchy multipleItemSelectionAllowed="1" dragToData="1">
      <members count="1" level="1">
        <member name="[Calendar Table].[Date (Month)].&amp;[Aug]"/>
      </members>
    </pivotHierarchy>
    <pivotHierarchy dragToData="1"/>
    <pivotHierarchy multipleItemSelectionAllowed="1" dragToData="1">
      <members count="1" level="1">
        <member name="[Calenda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8E2547-C92B-4129-9B87-5D369F39DB05}" name="PivotTable2" cacheId="1" applyNumberFormats="0" applyBorderFormats="0" applyFontFormats="0" applyPatternFormats="0" applyAlignmentFormats="0" applyWidthHeightFormats="1" dataCaption="Values" tag="56195d6a-921c-49c1-b8cd-df7e9438b9ad" updatedVersion="8" minRefreshableVersion="3" subtotalHiddenItems="1" itemPrintTitles="1" createdVersion="8" indent="0" outline="1" outlineData="1" multipleFieldFilters="0">
  <location ref="B9:B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1"/>
  </dataFields>
  <formats count="1">
    <format dxfId="0">
      <pivotArea outline="0" collapsedLevelsAreSubtotals="1" fieldPosition="0"/>
    </format>
  </formats>
  <pivotHierarchies count="28">
    <pivotHierarchy dragToData="1"/>
    <pivotHierarchy multipleItemSelectionAllowed="1" dragToData="1">
      <members count="1" level="1">
        <member name="[Calendar Table].[Date (Month)].&amp;[Aug]"/>
      </members>
    </pivotHierarchy>
    <pivotHierarchy dragToData="1"/>
    <pivotHierarchy multipleItemSelectionAllowed="1" dragToData="1">
      <members count="1" level="1">
        <member name="[Calenda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A44045-DC1E-42ED-ADD2-A59B5B4AD940}" name="PivotTable11" cacheId="9" applyNumberFormats="0" applyBorderFormats="0" applyFontFormats="0" applyPatternFormats="0" applyAlignmentFormats="0" applyWidthHeightFormats="1" dataCaption="Values" tag="e62b2816-7957-4d48-b6dc-0f235035c327" updatedVersion="8" minRefreshableVersion="3" subtotalHiddenItems="1" itemPrintTitles="1" createdVersion="8" indent="0" outline="1" outlineData="1" multipleFieldFilters="0" chartFormat="45">
  <location ref="AE5:AG8" firstHeaderRow="0" firstDataRow="1" firstDataCol="1"/>
  <pivotFields count="5">
    <pivotField dataField="1" subtotalTop="0" showAll="0" defaultSubtotal="0"/>
    <pivotField axis="axisRow" allDrilled="1" subtotalTop="0" showAll="0" sortType="descending" defaultSubtotal="0" defaultAttributeDrillState="1">
      <items count="2">
        <item x="1"/>
        <item x="0"/>
      </items>
    </pivotField>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Id2" fld="0" subtotal="count" baseField="0" baseItem="0">
      <extLst>
        <ext xmlns:x14="http://schemas.microsoft.com/office/spreadsheetml/2009/9/main" uri="{E15A36E0-9728-4e99-A89B-3F7291B0FE68}">
          <x14:dataField sourceField="0" uniqueName="[__Xl2].[Measures].[Count of Patient Id]"/>
        </ext>
      </extLst>
    </dataField>
    <dataField name="Count of Patient Id" fld="4" subtotal="count" showDataAs="percentOfTotal" baseField="0" baseItem="0" numFmtId="10">
      <extLst>
        <ext xmlns:x14="http://schemas.microsoft.com/office/spreadsheetml/2009/9/main" uri="{E15A36E0-9728-4e99-A89B-3F7291B0FE68}">
          <x14:dataField sourceField="0"/>
        </ext>
      </extLst>
    </dataField>
  </dataFields>
  <chartFormats count="4">
    <chartFormat chart="9" format="0"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1"/>
          </reference>
        </references>
      </pivotArea>
    </chartFormat>
    <chartFormat chart="16" format="0" series="1">
      <pivotArea type="data" outline="0" fieldPosition="0">
        <references count="1">
          <reference field="4294967294" count="1" selected="0">
            <x v="1"/>
          </reference>
        </references>
      </pivotArea>
    </chartFormat>
    <chartFormat chart="21" format="6" series="1">
      <pivotArea type="data" outline="0" fieldPosition="0">
        <references count="1">
          <reference field="4294967294" count="1" selected="0">
            <x v="1"/>
          </reference>
        </references>
      </pivotArea>
    </chartFormat>
  </chartFormats>
  <pivotHierarchies count="29">
    <pivotHierarchy dragToData="1"/>
    <pivotHierarchy multipleItemSelectionAllowed="1" dragToData="1">
      <members count="1" level="1">
        <member name="[Calendar Table].[Date (Month)].&amp;[Aug]"/>
      </members>
    </pivotHierarchy>
    <pivotHierarchy dragToData="1"/>
    <pivotHierarchy multipleItemSelectionAllowed="1" dragToData="1">
      <members count="1" level="1">
        <member name="[Calenda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2"/>
    <pivotHierarchy dragToData="1" caption="Distinct Count of Patient Id"/>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C0AB52-3661-4750-8D00-0E49DC709BA5}" name="PivotTable8" cacheId="6" applyNumberFormats="0" applyBorderFormats="0" applyFontFormats="0" applyPatternFormats="0" applyAlignmentFormats="0" applyWidthHeightFormats="1" dataCaption="Values" tag="d73e9d20-686c-4dad-a67d-4c2ef1dbb4ca" updatedVersion="8" minRefreshableVersion="3" subtotalHiddenItems="1" itemPrintTitles="1" createdVersion="8" indent="0" outline="1" outlineData="1" multipleFieldFilters="0" chartFormat="9">
  <location ref="U5:V14" firstHeaderRow="1" firstDataRow="1" firstDataCol="1"/>
  <pivotFields count="4">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v="7"/>
    </i>
    <i>
      <x v="3"/>
    </i>
    <i>
      <x v="1"/>
    </i>
    <i>
      <x v="6"/>
    </i>
    <i>
      <x/>
    </i>
    <i>
      <x v="5"/>
    </i>
    <i>
      <x v="2"/>
    </i>
    <i>
      <x v="4"/>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members count="1" level="1">
        <member name="[Calendar Table].[Date (Month)].&amp;[Aug]"/>
      </members>
    </pivotHierarchy>
    <pivotHierarchy dragToData="1"/>
    <pivotHierarchy multipleItemSelectionAllowed="1" dragToData="1">
      <members count="1" level="1">
        <member name="[Calenda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015144-EFA7-46B7-AFC6-EC0A863BB661}" name="PivotTable3" cacheId="2" applyNumberFormats="0" applyBorderFormats="0" applyFontFormats="0" applyPatternFormats="0" applyAlignmentFormats="0" applyWidthHeightFormats="1" dataCaption="Values" tag="40939aeb-ea59-4357-b374-a3c50887b4b7" updatedVersion="8" minRefreshableVersion="3" subtotalHiddenItems="1" itemPrintTitles="1" createdVersion="8" indent="0" outline="1" outlineData="1" multipleFieldFilters="0">
  <location ref="B12:B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1">
      <pivotArea outline="0" collapsedLevelsAreSubtotals="1" fieldPosition="0"/>
    </format>
  </formats>
  <pivotHierarchies count="28">
    <pivotHierarchy dragToData="1"/>
    <pivotHierarchy multipleItemSelectionAllowed="1" dragToData="1">
      <members count="1" level="1">
        <member name="[Calendar Table].[Date (Month)].&amp;[Aug]"/>
      </members>
    </pivotHierarchy>
    <pivotHierarchy dragToData="1"/>
    <pivotHierarchy multipleItemSelectionAllowed="1" dragToData="1">
      <members count="1" level="1">
        <member name="[Calenda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80AE77-EC8F-4307-9CCB-C66FAD7F684A}" name="PivotTable9" cacheId="7" applyNumberFormats="0" applyBorderFormats="0" applyFontFormats="0" applyPatternFormats="0" applyAlignmentFormats="0" applyWidthHeightFormats="1" dataCaption="Values" tag="9ecc4869-609d-4c1d-b02e-8c82506dfc58" updatedVersion="8" minRefreshableVersion="3" subtotalHiddenItems="1" itemPrintTitles="1" createdVersion="8" indent="0" outline="1" outlineData="1" multipleFieldFilters="0" chartFormat="16">
  <location ref="Y5:Z8"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Id" fld="1" subtotal="count" showDataAs="percentOfTotal" baseField="0" baseItem="0" numFmtId="10"/>
  </dataField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0" count="1" selected="0">
            <x v="0"/>
          </reference>
        </references>
      </pivotArea>
    </chartFormat>
    <chartFormat chart="14" format="6">
      <pivotArea type="data" outline="0" fieldPosition="0">
        <references count="2">
          <reference field="4294967294" count="1" selected="0">
            <x v="0"/>
          </reference>
          <reference field="0" count="1" selected="0">
            <x v="1"/>
          </reference>
        </references>
      </pivotArea>
    </chartFormat>
  </chartFormats>
  <pivotHierarchies count="28">
    <pivotHierarchy dragToData="1"/>
    <pivotHierarchy multipleItemSelectionAllowed="1" dragToData="1">
      <members count="1" level="1">
        <member name="[Calendar Table].[Date (Month)].&amp;[Aug]"/>
      </members>
    </pivotHierarchy>
    <pivotHierarchy dragToData="1"/>
    <pivotHierarchy multipleItemSelectionAllowed="1" dragToData="1">
      <members count="1" level="1">
        <member name="[Calenda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2"/>
    <pivotHierarchy dragToData="1" caption="Distinct Count of Patient 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8E82AD-46F2-41E4-AF09-AF72A3D8CCFB}" name="PivotTable4" cacheId="3" applyNumberFormats="0" applyBorderFormats="0" applyFontFormats="0" applyPatternFormats="0" applyAlignmentFormats="0" applyWidthHeightFormats="1" dataCaption="Values" tag="77ab63bd-330c-49d1-b1e5-a097a7d86c87" updatedVersion="8" minRefreshableVersion="3" subtotalHiddenItems="1" itemPrintTitles="1" createdVersion="8" indent="0" outline="1" outlineData="1" multipleFieldFilters="0" chartFormat="29">
  <location ref="E5:F39" firstHeaderRow="1" firstDataRow="1" firstDataCol="1"/>
  <pivotFields count="5">
    <pivotField dataField="1" subtotalTop="0" showAll="0" defaultSubtotal="0"/>
    <pivotField axis="axisRow" allDrilled="1" subtotalTop="0" showAll="0" dataSourceSort="1" defaultSubtotal="0" defaultAttributeDrillState="1">
      <items count="5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s>
    </pivotField>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1">
        <item s="1" x="0"/>
      </items>
    </pivotField>
  </pivotFields>
  <rowFields count="4">
    <field x="4"/>
    <field x="3"/>
    <field x="2"/>
    <field x="1"/>
  </rowFields>
  <rowItems count="34">
    <i>
      <x/>
    </i>
    <i r="1">
      <x/>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5"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1"/>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7EE045-C912-4AD6-AA4E-C31469416D3E}" name="PivotTable7" cacheId="5" applyNumberFormats="0" applyBorderFormats="0" applyFontFormats="0" applyPatternFormats="0" applyAlignmentFormats="0" applyWidthHeightFormats="1" dataCaption="Values" tag="3c8ab007-f63d-4e2f-9618-f333cfcd876f" updatedVersion="8" minRefreshableVersion="3" subtotalHiddenItems="1" itemPrintTitles="1" createdVersion="8" indent="0" outline="1" outlineData="1" multipleFieldFilters="0" chartFormat="5">
  <location ref="Q5:R14" firstHeaderRow="1" firstDataRow="1" firstDataCol="1"/>
  <pivotFields count="4">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1">
    <chartFormat chart="3" format="2"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members count="1" level="1">
        <member name="[Calendar Table].[Date (Month)].&amp;[Aug]"/>
      </members>
    </pivotHierarchy>
    <pivotHierarchy dragToData="1"/>
    <pivotHierarchy multipleItemSelectionAllowed="1" dragToData="1">
      <members count="1" level="1">
        <member name="[Calenda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A006D92-ED85-44F3-9771-F46272693D50}" name="PivotTable16" cacheId="10" applyNumberFormats="0" applyBorderFormats="0" applyFontFormats="0" applyPatternFormats="0" applyAlignmentFormats="0" applyWidthHeightFormats="1" dataCaption="Values" tag="afa9633b-2426-47fd-a4c6-fcdbb507ad1a" updatedVersion="8" minRefreshableVersion="3" subtotalHiddenItems="1" itemPrintTitles="1" createdVersion="8" indent="0" outline="1" outlineData="1" multipleFieldFilters="0" chartFormat="47">
  <location ref="AO5:AP8" firstHeaderRow="1" firstDataRow="1" firstDataCol="1"/>
  <pivotFields count="4">
    <pivotField dataField="1" subtotalTop="0" showAll="0" defaultSubtotal="0"/>
    <pivotField axis="axisRow" allDrilled="1" subtotalTop="0" showAll="0" sortType="ascending"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2" fld="0" subtotal="count" baseField="0" baseItem="0"/>
  </dataFields>
  <chartFormats count="4">
    <chartFormat chart="22" format="0"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members count="1" level="1">
        <member name="[Calendar Table].[Date (Month)].&amp;[Aug]"/>
      </members>
    </pivotHierarchy>
    <pivotHierarchy dragToData="1"/>
    <pivotHierarchy multipleItemSelectionAllowed="1" dragToData="1">
      <members count="1" level="1">
        <member name="[Calenda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2"/>
    <pivotHierarchy dragToData="1" caption="Distinct Count of Patient 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D836378-0CF0-4CF7-A132-F12BA32F4357}" name="PivotTable6" cacheId="4" applyNumberFormats="0" applyBorderFormats="0" applyFontFormats="0" applyPatternFormats="0" applyAlignmentFormats="0" applyWidthHeightFormats="1" dataCaption="Values" tag="6ef4c7f1-1d79-4540-b5c3-acbf21589068" updatedVersion="8" minRefreshableVersion="3" subtotalHiddenItems="1" itemPrintTitles="1" createdVersion="8" indent="0" outline="1" outlineData="1" multipleFieldFilters="0" chartFormat="25">
  <location ref="K5:L39" firstHeaderRow="1" firstDataRow="1" firstDataCol="1"/>
  <pivotFields count="5">
    <pivotField axis="axisRow" allDrilled="1" subtotalTop="0" showAll="0" dataSourceSort="1" defaultSubtotal="0" defaultAttributeDrillState="1">
      <items count="5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s>
    </pivotField>
    <pivotField axis="axisRow" allDrilled="1" subtotalTop="0" showAll="0" dataSourceSort="1" defaultSubtotal="0">
      <items count="363">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x="63" e="0"/>
        <item x="64" e="0"/>
        <item x="65" e="0"/>
        <item x="66" e="0"/>
        <item x="67" e="0"/>
        <item x="68" e="0"/>
        <item x="69" e="0"/>
        <item x="70" e="0"/>
        <item x="71" e="0"/>
        <item x="72" e="0"/>
        <item x="73" e="0"/>
        <item x="74" e="0"/>
        <item x="75" e="0"/>
        <item x="76" e="0"/>
        <item x="77" e="0"/>
        <item x="78" e="0"/>
        <item x="79" e="0"/>
        <item x="80" e="0"/>
        <item x="81" e="0"/>
        <item x="82" e="0"/>
        <item x="83" e="0"/>
        <item x="84" e="0"/>
        <item x="85" e="0"/>
        <item x="86" e="0"/>
        <item x="87" e="0"/>
        <item x="88" e="0"/>
        <item x="89" e="0"/>
        <item x="90" e="0"/>
        <item x="91" e="0"/>
        <item x="92" e="0"/>
        <item x="93" e="0"/>
        <item x="94" e="0"/>
        <item x="95" e="0"/>
        <item x="96" e="0"/>
        <item x="97" e="0"/>
        <item x="98" e="0"/>
        <item x="99" e="0"/>
        <item x="100" e="0"/>
        <item x="101" e="0"/>
        <item x="102" e="0"/>
        <item x="103" e="0"/>
        <item x="104" e="0"/>
        <item x="105" e="0"/>
        <item x="106" e="0"/>
        <item x="107" e="0"/>
        <item x="108" e="0"/>
        <item x="109" e="0"/>
        <item x="110" e="0"/>
        <item x="111" e="0"/>
        <item x="112" e="0"/>
        <item x="113" e="0"/>
        <item x="114" e="0"/>
        <item x="115" e="0"/>
        <item x="116" e="0"/>
        <item x="117" e="0"/>
        <item x="118" e="0"/>
        <item x="119" e="0"/>
        <item x="120" e="0"/>
        <item x="121" e="0"/>
        <item x="122" e="0"/>
        <item x="123" e="0"/>
        <item x="124" e="0"/>
        <item x="125" e="0"/>
        <item x="126" e="0"/>
        <item x="127" e="0"/>
        <item x="128" e="0"/>
        <item x="129" e="0"/>
        <item x="130" e="0"/>
        <item x="131" e="0"/>
        <item x="132" e="0"/>
        <item x="133" e="0"/>
        <item x="134" e="0"/>
        <item x="135" e="0"/>
        <item x="136" e="0"/>
        <item x="137" e="0"/>
        <item x="138" e="0"/>
        <item x="139" e="0"/>
        <item x="140" e="0"/>
        <item x="141" e="0"/>
        <item x="142" e="0"/>
        <item x="143" e="0"/>
        <item x="144" e="0"/>
        <item x="145" e="0"/>
        <item x="146" e="0"/>
        <item x="147" e="0"/>
        <item x="148" e="0"/>
        <item x="149" e="0"/>
        <item x="150" e="0"/>
        <item x="151" e="0"/>
        <item x="152" e="0"/>
        <item x="153" e="0"/>
        <item x="154" e="0"/>
        <item x="155" e="0"/>
        <item x="156" e="0"/>
        <item x="157" e="0"/>
        <item x="158" e="0"/>
        <item x="159" e="0"/>
        <item x="160" e="0"/>
        <item x="161" e="0"/>
        <item x="162" e="0"/>
        <item x="163" e="0"/>
        <item x="164" e="0"/>
        <item x="165" e="0"/>
        <item x="166" e="0"/>
        <item x="167" e="0"/>
        <item x="168" e="0"/>
        <item x="169" e="0"/>
        <item x="170" e="0"/>
        <item x="171" e="0"/>
        <item x="172" e="0"/>
        <item x="173" e="0"/>
        <item x="174" e="0"/>
        <item x="175" e="0"/>
        <item x="176" e="0"/>
        <item x="177" e="0"/>
        <item x="178" e="0"/>
        <item x="179" e="0"/>
        <item x="180" e="0"/>
        <item x="181" e="0"/>
        <item x="182" e="0"/>
        <item x="183" e="0"/>
        <item x="184" e="0"/>
        <item x="185" e="0"/>
        <item x="186" e="0"/>
        <item x="187" e="0"/>
        <item x="188" e="0"/>
        <item x="189" e="0"/>
        <item x="190" e="0"/>
        <item x="191" e="0"/>
        <item x="192" e="0"/>
        <item x="193" e="0"/>
        <item x="194" e="0"/>
        <item x="195" e="0"/>
        <item x="196" e="0"/>
        <item x="197" e="0"/>
        <item x="198" e="0"/>
        <item x="199" e="0"/>
        <item x="200" e="0"/>
        <item x="201" e="0"/>
        <item x="202" e="0"/>
        <item x="203" e="0"/>
        <item x="204" e="0"/>
        <item x="205" e="0"/>
        <item x="206" e="0"/>
        <item x="207" e="0"/>
        <item x="208" e="0"/>
        <item x="209" e="0"/>
        <item x="210" e="0"/>
        <item x="211" e="0"/>
        <item x="212" e="0"/>
        <item x="213" e="0"/>
        <item x="214" e="0"/>
        <item x="215" e="0"/>
        <item x="216" e="0"/>
        <item x="217" e="0"/>
        <item x="218" e="0"/>
        <item x="219" e="0"/>
        <item x="220" e="0"/>
        <item x="221" e="0"/>
        <item x="222" e="0"/>
        <item x="223" e="0"/>
        <item x="224" e="0"/>
        <item x="225" e="0"/>
        <item x="226" e="0"/>
        <item x="227" e="0"/>
        <item x="228" e="0"/>
        <item x="229" e="0"/>
        <item x="230" e="0"/>
        <item x="231" e="0"/>
        <item x="232" e="0"/>
        <item x="233" e="0"/>
        <item x="234" e="0"/>
        <item x="235" e="0"/>
        <item x="236" e="0"/>
        <item x="237" e="0"/>
        <item x="238" e="0"/>
        <item x="239" e="0"/>
        <item x="240" e="0"/>
        <item x="241" e="0"/>
        <item x="242" e="0"/>
        <item x="243" e="0"/>
        <item x="244" e="0"/>
        <item x="245" e="0"/>
        <item x="246" e="0"/>
        <item x="247" e="0"/>
        <item x="248" e="0"/>
        <item x="249" e="0"/>
        <item x="250" e="0"/>
        <item x="251" e="0"/>
        <item x="252" e="0"/>
        <item x="253" e="0"/>
        <item x="254" e="0"/>
        <item x="255" e="0"/>
        <item x="256" e="0"/>
        <item x="257" e="0"/>
        <item x="258" e="0"/>
        <item x="259" e="0"/>
        <item x="260" e="0"/>
        <item x="261" e="0"/>
        <item x="262" e="0"/>
        <item x="263" e="0"/>
        <item x="264" e="0"/>
        <item x="265" e="0"/>
        <item x="266" e="0"/>
        <item x="267" e="0"/>
        <item x="268" e="0"/>
        <item x="269" e="0"/>
        <item x="270" e="0"/>
        <item x="271" e="0"/>
        <item x="272" e="0"/>
        <item x="273" e="0"/>
        <item x="274" e="0"/>
        <item x="275" e="0"/>
        <item x="276" e="0"/>
        <item x="277" e="0"/>
        <item x="278" e="0"/>
        <item x="279" e="0"/>
        <item x="280" e="0"/>
        <item x="281" e="0"/>
        <item x="282" e="0"/>
        <item x="283" e="0"/>
        <item x="284" e="0"/>
        <item x="285" e="0"/>
        <item x="286" e="0"/>
        <item x="287" e="0"/>
        <item x="288" e="0"/>
        <item x="289" e="0"/>
        <item x="290" e="0"/>
        <item x="291" e="0"/>
        <item x="292" e="0"/>
        <item x="293" e="0"/>
        <item x="294" e="0"/>
        <item x="295" e="0"/>
        <item x="296" e="0"/>
        <item x="297" e="0"/>
        <item x="298" e="0"/>
        <item x="299" e="0"/>
        <item x="300" e="0"/>
        <item x="301" e="0"/>
        <item x="302" e="0"/>
        <item x="303" e="0"/>
        <item x="304" e="0"/>
        <item x="305" e="0"/>
        <item x="306" e="0"/>
        <item x="307" e="0"/>
        <item x="308" e="0"/>
        <item x="309" e="0"/>
        <item x="310" e="0"/>
        <item x="311" e="0"/>
        <item x="312" e="0"/>
        <item x="313" e="0"/>
        <item x="314" e="0"/>
        <item x="315" e="0"/>
        <item x="316" e="0"/>
        <item x="317" e="0"/>
        <item x="318" e="0"/>
        <item x="319" e="0"/>
        <item x="320" e="0"/>
        <item x="321" e="0"/>
        <item x="322" e="0"/>
        <item x="323" e="0"/>
        <item x="324" e="0"/>
        <item x="325" e="0"/>
        <item x="326" e="0"/>
        <item x="327" e="0"/>
        <item x="328" e="0"/>
        <item x="329" e="0"/>
        <item x="330" e="0"/>
        <item x="331" e="0"/>
        <item x="332" e="0"/>
        <item x="333" e="0"/>
        <item x="334" e="0"/>
        <item x="335" e="0"/>
        <item x="336" e="0"/>
        <item x="337" e="0"/>
        <item x="338" e="0"/>
        <item x="339" e="0"/>
        <item x="340" e="0"/>
        <item x="341" e="0"/>
        <item x="342" e="0"/>
        <item x="343" e="0"/>
        <item x="344" e="0"/>
        <item x="345" e="0"/>
        <item x="346" e="0"/>
        <item x="347" e="0"/>
        <item x="348" e="0"/>
        <item x="349" e="0"/>
        <item x="350" e="0"/>
        <item x="351" e="0"/>
        <item x="352" e="0"/>
        <item x="353" e="0"/>
        <item x="354" e="0"/>
        <item x="355" e="0"/>
        <item x="356" e="0"/>
        <item x="357" e="0"/>
        <item x="358" e="0"/>
        <item x="359" e="0"/>
        <item x="360" e="0"/>
        <item x="361" e="0"/>
        <item x="362" e="0"/>
      </items>
    </pivotField>
    <pivotField axis="axisRow" allDrilled="1" subtotalTop="0" showAll="0" dataSourceSort="1" defaultSubtotal="0" defaultAttributeDrillState="1">
      <items count="12">
        <item s="1" x="0"/>
        <item x="1"/>
        <item x="2"/>
        <item x="3"/>
        <item x="4"/>
        <item x="5"/>
        <item x="6"/>
        <item x="7"/>
        <item x="8"/>
        <item x="9"/>
        <item x="10"/>
        <item x="11"/>
      </items>
    </pivotField>
    <pivotField dataField="1" subtotalTop="0" showAll="0" defaultSubtotal="0"/>
    <pivotField axis="axisRow" allDrilled="1" subtotalTop="0" showAll="0" dataSourceSort="1" defaultSubtotal="0" defaultAttributeDrillState="1">
      <items count="1">
        <item s="1" x="0"/>
      </items>
    </pivotField>
  </pivotFields>
  <rowFields count="4">
    <field x="4"/>
    <field x="2"/>
    <field x="1"/>
    <field x="0"/>
  </rowFields>
  <rowItems count="34">
    <i>
      <x/>
    </i>
    <i r="1">
      <x/>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t="grand">
      <x/>
    </i>
  </rowItems>
  <colItems count="1">
    <i/>
  </colItems>
  <dataFields count="1">
    <dataField name="Average of Patient Satisfaction Score" fld="3" subtotal="average" baseField="2" baseItem="1"/>
  </dataFields>
  <formats count="376">
    <format dxfId="377">
      <pivotArea collapsedLevelsAreSubtotals="1" fieldPosition="0">
        <references count="1">
          <reference field="2" count="1">
            <x v="6"/>
          </reference>
        </references>
      </pivotArea>
    </format>
    <format dxfId="376">
      <pivotArea collapsedLevelsAreSubtotals="1" fieldPosition="0">
        <references count="2">
          <reference field="1" count="1">
            <x v="185"/>
          </reference>
          <reference field="2" count="1" selected="0">
            <x v="6"/>
          </reference>
        </references>
      </pivotArea>
    </format>
    <format dxfId="375">
      <pivotArea collapsedLevelsAreSubtotals="1" fieldPosition="0">
        <references count="2">
          <reference field="1" count="1">
            <x v="186"/>
          </reference>
          <reference field="2" count="1" selected="0">
            <x v="6"/>
          </reference>
        </references>
      </pivotArea>
    </format>
    <format dxfId="374">
      <pivotArea collapsedLevelsAreSubtotals="1" fieldPosition="0">
        <references count="2">
          <reference field="1" count="1">
            <x v="187"/>
          </reference>
          <reference field="2" count="1" selected="0">
            <x v="6"/>
          </reference>
        </references>
      </pivotArea>
    </format>
    <format dxfId="373">
      <pivotArea collapsedLevelsAreSubtotals="1" fieldPosition="0">
        <references count="2">
          <reference field="1" count="1">
            <x v="188"/>
          </reference>
          <reference field="2" count="1" selected="0">
            <x v="6"/>
          </reference>
        </references>
      </pivotArea>
    </format>
    <format dxfId="372">
      <pivotArea collapsedLevelsAreSubtotals="1" fieldPosition="0">
        <references count="2">
          <reference field="1" count="1">
            <x v="189"/>
          </reference>
          <reference field="2" count="1" selected="0">
            <x v="6"/>
          </reference>
        </references>
      </pivotArea>
    </format>
    <format dxfId="371">
      <pivotArea collapsedLevelsAreSubtotals="1" fieldPosition="0">
        <references count="2">
          <reference field="1" count="1">
            <x v="190"/>
          </reference>
          <reference field="2" count="1" selected="0">
            <x v="6"/>
          </reference>
        </references>
      </pivotArea>
    </format>
    <format dxfId="370">
      <pivotArea collapsedLevelsAreSubtotals="1" fieldPosition="0">
        <references count="2">
          <reference field="1" count="1">
            <x v="191"/>
          </reference>
          <reference field="2" count="1" selected="0">
            <x v="6"/>
          </reference>
        </references>
      </pivotArea>
    </format>
    <format dxfId="369">
      <pivotArea collapsedLevelsAreSubtotals="1" fieldPosition="0">
        <references count="2">
          <reference field="1" count="1">
            <x v="192"/>
          </reference>
          <reference field="2" count="1" selected="0">
            <x v="6"/>
          </reference>
        </references>
      </pivotArea>
    </format>
    <format dxfId="368">
      <pivotArea collapsedLevelsAreSubtotals="1" fieldPosition="0">
        <references count="2">
          <reference field="1" count="1">
            <x v="193"/>
          </reference>
          <reference field="2" count="1" selected="0">
            <x v="6"/>
          </reference>
        </references>
      </pivotArea>
    </format>
    <format dxfId="367">
      <pivotArea collapsedLevelsAreSubtotals="1" fieldPosition="0">
        <references count="2">
          <reference field="1" count="1">
            <x v="194"/>
          </reference>
          <reference field="2" count="1" selected="0">
            <x v="6"/>
          </reference>
        </references>
      </pivotArea>
    </format>
    <format dxfId="366">
      <pivotArea collapsedLevelsAreSubtotals="1" fieldPosition="0">
        <references count="2">
          <reference field="1" count="1">
            <x v="195"/>
          </reference>
          <reference field="2" count="1" selected="0">
            <x v="6"/>
          </reference>
        </references>
      </pivotArea>
    </format>
    <format dxfId="365">
      <pivotArea collapsedLevelsAreSubtotals="1" fieldPosition="0">
        <references count="2">
          <reference field="1" count="1">
            <x v="196"/>
          </reference>
          <reference field="2" count="1" selected="0">
            <x v="6"/>
          </reference>
        </references>
      </pivotArea>
    </format>
    <format dxfId="364">
      <pivotArea collapsedLevelsAreSubtotals="1" fieldPosition="0">
        <references count="2">
          <reference field="1" count="1">
            <x v="197"/>
          </reference>
          <reference field="2" count="1" selected="0">
            <x v="6"/>
          </reference>
        </references>
      </pivotArea>
    </format>
    <format dxfId="363">
      <pivotArea collapsedLevelsAreSubtotals="1" fieldPosition="0">
        <references count="2">
          <reference field="1" count="1">
            <x v="198"/>
          </reference>
          <reference field="2" count="1" selected="0">
            <x v="6"/>
          </reference>
        </references>
      </pivotArea>
    </format>
    <format dxfId="362">
      <pivotArea collapsedLevelsAreSubtotals="1" fieldPosition="0">
        <references count="2">
          <reference field="1" count="1">
            <x v="199"/>
          </reference>
          <reference field="2" count="1" selected="0">
            <x v="6"/>
          </reference>
        </references>
      </pivotArea>
    </format>
    <format dxfId="361">
      <pivotArea collapsedLevelsAreSubtotals="1" fieldPosition="0">
        <references count="2">
          <reference field="1" count="1">
            <x v="200"/>
          </reference>
          <reference field="2" count="1" selected="0">
            <x v="6"/>
          </reference>
        </references>
      </pivotArea>
    </format>
    <format dxfId="360">
      <pivotArea collapsedLevelsAreSubtotals="1" fieldPosition="0">
        <references count="2">
          <reference field="1" count="1">
            <x v="201"/>
          </reference>
          <reference field="2" count="1" selected="0">
            <x v="6"/>
          </reference>
        </references>
      </pivotArea>
    </format>
    <format dxfId="359">
      <pivotArea collapsedLevelsAreSubtotals="1" fieldPosition="0">
        <references count="2">
          <reference field="1" count="1">
            <x v="202"/>
          </reference>
          <reference field="2" count="1" selected="0">
            <x v="6"/>
          </reference>
        </references>
      </pivotArea>
    </format>
    <format dxfId="358">
      <pivotArea collapsedLevelsAreSubtotals="1" fieldPosition="0">
        <references count="2">
          <reference field="1" count="1">
            <x v="203"/>
          </reference>
          <reference field="2" count="1" selected="0">
            <x v="6"/>
          </reference>
        </references>
      </pivotArea>
    </format>
    <format dxfId="357">
      <pivotArea collapsedLevelsAreSubtotals="1" fieldPosition="0">
        <references count="2">
          <reference field="1" count="1">
            <x v="204"/>
          </reference>
          <reference field="2" count="1" selected="0">
            <x v="6"/>
          </reference>
        </references>
      </pivotArea>
    </format>
    <format dxfId="356">
      <pivotArea collapsedLevelsAreSubtotals="1" fieldPosition="0">
        <references count="2">
          <reference field="1" count="1">
            <x v="205"/>
          </reference>
          <reference field="2" count="1" selected="0">
            <x v="6"/>
          </reference>
        </references>
      </pivotArea>
    </format>
    <format dxfId="355">
      <pivotArea collapsedLevelsAreSubtotals="1" fieldPosition="0">
        <references count="2">
          <reference field="1" count="1">
            <x v="206"/>
          </reference>
          <reference field="2" count="1" selected="0">
            <x v="6"/>
          </reference>
        </references>
      </pivotArea>
    </format>
    <format dxfId="354">
      <pivotArea collapsedLevelsAreSubtotals="1" fieldPosition="0">
        <references count="2">
          <reference field="1" count="1">
            <x v="207"/>
          </reference>
          <reference field="2" count="1" selected="0">
            <x v="6"/>
          </reference>
        </references>
      </pivotArea>
    </format>
    <format dxfId="353">
      <pivotArea collapsedLevelsAreSubtotals="1" fieldPosition="0">
        <references count="2">
          <reference field="1" count="1">
            <x v="208"/>
          </reference>
          <reference field="2" count="1" selected="0">
            <x v="6"/>
          </reference>
        </references>
      </pivotArea>
    </format>
    <format dxfId="352">
      <pivotArea collapsedLevelsAreSubtotals="1" fieldPosition="0">
        <references count="2">
          <reference field="1" count="1">
            <x v="209"/>
          </reference>
          <reference field="2" count="1" selected="0">
            <x v="6"/>
          </reference>
        </references>
      </pivotArea>
    </format>
    <format dxfId="351">
      <pivotArea collapsedLevelsAreSubtotals="1" fieldPosition="0">
        <references count="2">
          <reference field="1" count="1">
            <x v="210"/>
          </reference>
          <reference field="2" count="1" selected="0">
            <x v="6"/>
          </reference>
        </references>
      </pivotArea>
    </format>
    <format dxfId="350">
      <pivotArea collapsedLevelsAreSubtotals="1" fieldPosition="0">
        <references count="2">
          <reference field="1" count="1">
            <x v="211"/>
          </reference>
          <reference field="2" count="1" selected="0">
            <x v="6"/>
          </reference>
        </references>
      </pivotArea>
    </format>
    <format dxfId="349">
      <pivotArea collapsedLevelsAreSubtotals="1" fieldPosition="0">
        <references count="2">
          <reference field="1" count="1">
            <x v="212"/>
          </reference>
          <reference field="2" count="1" selected="0">
            <x v="6"/>
          </reference>
        </references>
      </pivotArea>
    </format>
    <format dxfId="348">
      <pivotArea collapsedLevelsAreSubtotals="1" fieldPosition="0">
        <references count="2">
          <reference field="1" count="1">
            <x v="213"/>
          </reference>
          <reference field="2" count="1" selected="0">
            <x v="6"/>
          </reference>
        </references>
      </pivotArea>
    </format>
    <format dxfId="347">
      <pivotArea collapsedLevelsAreSubtotals="1" fieldPosition="0">
        <references count="2">
          <reference field="1" count="1">
            <x v="214"/>
          </reference>
          <reference field="2" count="1" selected="0">
            <x v="6"/>
          </reference>
        </references>
      </pivotArea>
    </format>
    <format dxfId="346">
      <pivotArea collapsedLevelsAreSubtotals="1" fieldPosition="0">
        <references count="2">
          <reference field="1" count="1">
            <x v="215"/>
          </reference>
          <reference field="2" count="1" selected="0">
            <x v="6"/>
          </reference>
        </references>
      </pivotArea>
    </format>
    <format dxfId="345">
      <pivotArea collapsedLevelsAreSubtotals="1" fieldPosition="0">
        <references count="1">
          <reference field="2" count="1">
            <x v="8"/>
          </reference>
        </references>
      </pivotArea>
    </format>
    <format dxfId="344">
      <pivotArea collapsedLevelsAreSubtotals="1" fieldPosition="0">
        <references count="2">
          <reference field="1" count="1">
            <x v="243"/>
          </reference>
          <reference field="2" count="1" selected="0">
            <x v="8"/>
          </reference>
        </references>
      </pivotArea>
    </format>
    <format dxfId="343">
      <pivotArea collapsedLevelsAreSubtotals="1" fieldPosition="0">
        <references count="2">
          <reference field="1" count="1">
            <x v="244"/>
          </reference>
          <reference field="2" count="1" selected="0">
            <x v="8"/>
          </reference>
        </references>
      </pivotArea>
    </format>
    <format dxfId="342">
      <pivotArea collapsedLevelsAreSubtotals="1" fieldPosition="0">
        <references count="2">
          <reference field="1" count="1">
            <x v="245"/>
          </reference>
          <reference field="2" count="1" selected="0">
            <x v="8"/>
          </reference>
        </references>
      </pivotArea>
    </format>
    <format dxfId="341">
      <pivotArea collapsedLevelsAreSubtotals="1" fieldPosition="0">
        <references count="2">
          <reference field="1" count="1">
            <x v="246"/>
          </reference>
          <reference field="2" count="1" selected="0">
            <x v="8"/>
          </reference>
        </references>
      </pivotArea>
    </format>
    <format dxfId="340">
      <pivotArea collapsedLevelsAreSubtotals="1" fieldPosition="0">
        <references count="2">
          <reference field="1" count="1">
            <x v="247"/>
          </reference>
          <reference field="2" count="1" selected="0">
            <x v="8"/>
          </reference>
        </references>
      </pivotArea>
    </format>
    <format dxfId="339">
      <pivotArea collapsedLevelsAreSubtotals="1" fieldPosition="0">
        <references count="2">
          <reference field="1" count="1">
            <x v="248"/>
          </reference>
          <reference field="2" count="1" selected="0">
            <x v="8"/>
          </reference>
        </references>
      </pivotArea>
    </format>
    <format dxfId="338">
      <pivotArea collapsedLevelsAreSubtotals="1" fieldPosition="0">
        <references count="2">
          <reference field="1" count="1">
            <x v="249"/>
          </reference>
          <reference field="2" count="1" selected="0">
            <x v="8"/>
          </reference>
        </references>
      </pivotArea>
    </format>
    <format dxfId="337">
      <pivotArea collapsedLevelsAreSubtotals="1" fieldPosition="0">
        <references count="2">
          <reference field="1" count="1">
            <x v="250"/>
          </reference>
          <reference field="2" count="1" selected="0">
            <x v="8"/>
          </reference>
        </references>
      </pivotArea>
    </format>
    <format dxfId="336">
      <pivotArea collapsedLevelsAreSubtotals="1" fieldPosition="0">
        <references count="2">
          <reference field="1" count="1">
            <x v="251"/>
          </reference>
          <reference field="2" count="1" selected="0">
            <x v="8"/>
          </reference>
        </references>
      </pivotArea>
    </format>
    <format dxfId="335">
      <pivotArea collapsedLevelsAreSubtotals="1" fieldPosition="0">
        <references count="2">
          <reference field="1" count="1">
            <x v="252"/>
          </reference>
          <reference field="2" count="1" selected="0">
            <x v="8"/>
          </reference>
        </references>
      </pivotArea>
    </format>
    <format dxfId="334">
      <pivotArea collapsedLevelsAreSubtotals="1" fieldPosition="0">
        <references count="2">
          <reference field="1" count="1">
            <x v="253"/>
          </reference>
          <reference field="2" count="1" selected="0">
            <x v="8"/>
          </reference>
        </references>
      </pivotArea>
    </format>
    <format dxfId="333">
      <pivotArea collapsedLevelsAreSubtotals="1" fieldPosition="0">
        <references count="2">
          <reference field="1" count="1">
            <x v="254"/>
          </reference>
          <reference field="2" count="1" selected="0">
            <x v="8"/>
          </reference>
        </references>
      </pivotArea>
    </format>
    <format dxfId="332">
      <pivotArea collapsedLevelsAreSubtotals="1" fieldPosition="0">
        <references count="2">
          <reference field="1" count="1">
            <x v="255"/>
          </reference>
          <reference field="2" count="1" selected="0">
            <x v="8"/>
          </reference>
        </references>
      </pivotArea>
    </format>
    <format dxfId="331">
      <pivotArea collapsedLevelsAreSubtotals="1" fieldPosition="0">
        <references count="2">
          <reference field="1" count="1">
            <x v="256"/>
          </reference>
          <reference field="2" count="1" selected="0">
            <x v="8"/>
          </reference>
        </references>
      </pivotArea>
    </format>
    <format dxfId="330">
      <pivotArea collapsedLevelsAreSubtotals="1" fieldPosition="0">
        <references count="2">
          <reference field="1" count="1">
            <x v="257"/>
          </reference>
          <reference field="2" count="1" selected="0">
            <x v="8"/>
          </reference>
        </references>
      </pivotArea>
    </format>
    <format dxfId="329">
      <pivotArea collapsedLevelsAreSubtotals="1" fieldPosition="0">
        <references count="2">
          <reference field="1" count="1">
            <x v="258"/>
          </reference>
          <reference field="2" count="1" selected="0">
            <x v="8"/>
          </reference>
        </references>
      </pivotArea>
    </format>
    <format dxfId="328">
      <pivotArea collapsedLevelsAreSubtotals="1" fieldPosition="0">
        <references count="2">
          <reference field="1" count="1">
            <x v="259"/>
          </reference>
          <reference field="2" count="1" selected="0">
            <x v="8"/>
          </reference>
        </references>
      </pivotArea>
    </format>
    <format dxfId="327">
      <pivotArea collapsedLevelsAreSubtotals="1" fieldPosition="0">
        <references count="2">
          <reference field="1" count="1">
            <x v="260"/>
          </reference>
          <reference field="2" count="1" selected="0">
            <x v="8"/>
          </reference>
        </references>
      </pivotArea>
    </format>
    <format dxfId="326">
      <pivotArea collapsedLevelsAreSubtotals="1" fieldPosition="0">
        <references count="2">
          <reference field="1" count="1">
            <x v="261"/>
          </reference>
          <reference field="2" count="1" selected="0">
            <x v="8"/>
          </reference>
        </references>
      </pivotArea>
    </format>
    <format dxfId="325">
      <pivotArea collapsedLevelsAreSubtotals="1" fieldPosition="0">
        <references count="2">
          <reference field="1" count="1">
            <x v="262"/>
          </reference>
          <reference field="2" count="1" selected="0">
            <x v="8"/>
          </reference>
        </references>
      </pivotArea>
    </format>
    <format dxfId="324">
      <pivotArea collapsedLevelsAreSubtotals="1" fieldPosition="0">
        <references count="2">
          <reference field="1" count="1">
            <x v="263"/>
          </reference>
          <reference field="2" count="1" selected="0">
            <x v="8"/>
          </reference>
        </references>
      </pivotArea>
    </format>
    <format dxfId="323">
      <pivotArea collapsedLevelsAreSubtotals="1" fieldPosition="0">
        <references count="2">
          <reference field="1" count="1">
            <x v="264"/>
          </reference>
          <reference field="2" count="1" selected="0">
            <x v="8"/>
          </reference>
        </references>
      </pivotArea>
    </format>
    <format dxfId="322">
      <pivotArea collapsedLevelsAreSubtotals="1" fieldPosition="0">
        <references count="2">
          <reference field="1" count="1">
            <x v="265"/>
          </reference>
          <reference field="2" count="1" selected="0">
            <x v="8"/>
          </reference>
        </references>
      </pivotArea>
    </format>
    <format dxfId="321">
      <pivotArea collapsedLevelsAreSubtotals="1" fieldPosition="0">
        <references count="2">
          <reference field="1" count="1">
            <x v="266"/>
          </reference>
          <reference field="2" count="1" selected="0">
            <x v="8"/>
          </reference>
        </references>
      </pivotArea>
    </format>
    <format dxfId="320">
      <pivotArea collapsedLevelsAreSubtotals="1" fieldPosition="0">
        <references count="2">
          <reference field="1" count="1">
            <x v="267"/>
          </reference>
          <reference field="2" count="1" selected="0">
            <x v="8"/>
          </reference>
        </references>
      </pivotArea>
    </format>
    <format dxfId="319">
      <pivotArea collapsedLevelsAreSubtotals="1" fieldPosition="0">
        <references count="2">
          <reference field="1" count="1">
            <x v="268"/>
          </reference>
          <reference field="2" count="1" selected="0">
            <x v="8"/>
          </reference>
        </references>
      </pivotArea>
    </format>
    <format dxfId="318">
      <pivotArea collapsedLevelsAreSubtotals="1" fieldPosition="0">
        <references count="2">
          <reference field="1" count="1">
            <x v="269"/>
          </reference>
          <reference field="2" count="1" selected="0">
            <x v="8"/>
          </reference>
        </references>
      </pivotArea>
    </format>
    <format dxfId="317">
      <pivotArea collapsedLevelsAreSubtotals="1" fieldPosition="0">
        <references count="2">
          <reference field="1" count="1">
            <x v="270"/>
          </reference>
          <reference field="2" count="1" selected="0">
            <x v="8"/>
          </reference>
        </references>
      </pivotArea>
    </format>
    <format dxfId="316">
      <pivotArea collapsedLevelsAreSubtotals="1" fieldPosition="0">
        <references count="1">
          <reference field="2" count="1">
            <x v="5"/>
          </reference>
        </references>
      </pivotArea>
    </format>
    <format dxfId="315">
      <pivotArea collapsedLevelsAreSubtotals="1" fieldPosition="0">
        <references count="2">
          <reference field="1" count="1">
            <x v="154"/>
          </reference>
          <reference field="2" count="1" selected="0">
            <x v="5"/>
          </reference>
        </references>
      </pivotArea>
    </format>
    <format dxfId="314">
      <pivotArea collapsedLevelsAreSubtotals="1" fieldPosition="0">
        <references count="2">
          <reference field="1" count="1">
            <x v="155"/>
          </reference>
          <reference field="2" count="1" selected="0">
            <x v="5"/>
          </reference>
        </references>
      </pivotArea>
    </format>
    <format dxfId="313">
      <pivotArea collapsedLevelsAreSubtotals="1" fieldPosition="0">
        <references count="2">
          <reference field="1" count="1">
            <x v="156"/>
          </reference>
          <reference field="2" count="1" selected="0">
            <x v="5"/>
          </reference>
        </references>
      </pivotArea>
    </format>
    <format dxfId="312">
      <pivotArea collapsedLevelsAreSubtotals="1" fieldPosition="0">
        <references count="2">
          <reference field="1" count="1">
            <x v="157"/>
          </reference>
          <reference field="2" count="1" selected="0">
            <x v="5"/>
          </reference>
        </references>
      </pivotArea>
    </format>
    <format dxfId="311">
      <pivotArea collapsedLevelsAreSubtotals="1" fieldPosition="0">
        <references count="2">
          <reference field="1" count="1">
            <x v="158"/>
          </reference>
          <reference field="2" count="1" selected="0">
            <x v="5"/>
          </reference>
        </references>
      </pivotArea>
    </format>
    <format dxfId="310">
      <pivotArea collapsedLevelsAreSubtotals="1" fieldPosition="0">
        <references count="2">
          <reference field="1" count="1">
            <x v="159"/>
          </reference>
          <reference field="2" count="1" selected="0">
            <x v="5"/>
          </reference>
        </references>
      </pivotArea>
    </format>
    <format dxfId="309">
      <pivotArea collapsedLevelsAreSubtotals="1" fieldPosition="0">
        <references count="2">
          <reference field="1" count="1">
            <x v="160"/>
          </reference>
          <reference field="2" count="1" selected="0">
            <x v="5"/>
          </reference>
        </references>
      </pivotArea>
    </format>
    <format dxfId="308">
      <pivotArea collapsedLevelsAreSubtotals="1" fieldPosition="0">
        <references count="2">
          <reference field="1" count="1">
            <x v="161"/>
          </reference>
          <reference field="2" count="1" selected="0">
            <x v="5"/>
          </reference>
        </references>
      </pivotArea>
    </format>
    <format dxfId="307">
      <pivotArea collapsedLevelsAreSubtotals="1" fieldPosition="0">
        <references count="2">
          <reference field="1" count="1">
            <x v="162"/>
          </reference>
          <reference field="2" count="1" selected="0">
            <x v="5"/>
          </reference>
        </references>
      </pivotArea>
    </format>
    <format dxfId="306">
      <pivotArea collapsedLevelsAreSubtotals="1" fieldPosition="0">
        <references count="2">
          <reference field="1" count="1">
            <x v="163"/>
          </reference>
          <reference field="2" count="1" selected="0">
            <x v="5"/>
          </reference>
        </references>
      </pivotArea>
    </format>
    <format dxfId="305">
      <pivotArea collapsedLevelsAreSubtotals="1" fieldPosition="0">
        <references count="2">
          <reference field="1" count="1">
            <x v="164"/>
          </reference>
          <reference field="2" count="1" selected="0">
            <x v="5"/>
          </reference>
        </references>
      </pivotArea>
    </format>
    <format dxfId="304">
      <pivotArea collapsedLevelsAreSubtotals="1" fieldPosition="0">
        <references count="2">
          <reference field="1" count="1">
            <x v="165"/>
          </reference>
          <reference field="2" count="1" selected="0">
            <x v="5"/>
          </reference>
        </references>
      </pivotArea>
    </format>
    <format dxfId="303">
      <pivotArea collapsedLevelsAreSubtotals="1" fieldPosition="0">
        <references count="2">
          <reference field="1" count="1">
            <x v="166"/>
          </reference>
          <reference field="2" count="1" selected="0">
            <x v="5"/>
          </reference>
        </references>
      </pivotArea>
    </format>
    <format dxfId="302">
      <pivotArea collapsedLevelsAreSubtotals="1" fieldPosition="0">
        <references count="2">
          <reference field="1" count="1">
            <x v="167"/>
          </reference>
          <reference field="2" count="1" selected="0">
            <x v="5"/>
          </reference>
        </references>
      </pivotArea>
    </format>
    <format dxfId="301">
      <pivotArea collapsedLevelsAreSubtotals="1" fieldPosition="0">
        <references count="2">
          <reference field="1" count="1">
            <x v="168"/>
          </reference>
          <reference field="2" count="1" selected="0">
            <x v="5"/>
          </reference>
        </references>
      </pivotArea>
    </format>
    <format dxfId="300">
      <pivotArea collapsedLevelsAreSubtotals="1" fieldPosition="0">
        <references count="2">
          <reference field="1" count="1">
            <x v="169"/>
          </reference>
          <reference field="2" count="1" selected="0">
            <x v="5"/>
          </reference>
        </references>
      </pivotArea>
    </format>
    <format dxfId="299">
      <pivotArea collapsedLevelsAreSubtotals="1" fieldPosition="0">
        <references count="2">
          <reference field="1" count="1">
            <x v="170"/>
          </reference>
          <reference field="2" count="1" selected="0">
            <x v="5"/>
          </reference>
        </references>
      </pivotArea>
    </format>
    <format dxfId="298">
      <pivotArea collapsedLevelsAreSubtotals="1" fieldPosition="0">
        <references count="2">
          <reference field="1" count="1">
            <x v="171"/>
          </reference>
          <reference field="2" count="1" selected="0">
            <x v="5"/>
          </reference>
        </references>
      </pivotArea>
    </format>
    <format dxfId="297">
      <pivotArea collapsedLevelsAreSubtotals="1" fieldPosition="0">
        <references count="2">
          <reference field="1" count="1">
            <x v="172"/>
          </reference>
          <reference field="2" count="1" selected="0">
            <x v="5"/>
          </reference>
        </references>
      </pivotArea>
    </format>
    <format dxfId="296">
      <pivotArea collapsedLevelsAreSubtotals="1" fieldPosition="0">
        <references count="2">
          <reference field="1" count="1">
            <x v="173"/>
          </reference>
          <reference field="2" count="1" selected="0">
            <x v="5"/>
          </reference>
        </references>
      </pivotArea>
    </format>
    <format dxfId="295">
      <pivotArea collapsedLevelsAreSubtotals="1" fieldPosition="0">
        <references count="2">
          <reference field="1" count="1">
            <x v="174"/>
          </reference>
          <reference field="2" count="1" selected="0">
            <x v="5"/>
          </reference>
        </references>
      </pivotArea>
    </format>
    <format dxfId="294">
      <pivotArea collapsedLevelsAreSubtotals="1" fieldPosition="0">
        <references count="2">
          <reference field="1" count="1">
            <x v="175"/>
          </reference>
          <reference field="2" count="1" selected="0">
            <x v="5"/>
          </reference>
        </references>
      </pivotArea>
    </format>
    <format dxfId="293">
      <pivotArea collapsedLevelsAreSubtotals="1" fieldPosition="0">
        <references count="2">
          <reference field="1" count="1">
            <x v="176"/>
          </reference>
          <reference field="2" count="1" selected="0">
            <x v="5"/>
          </reference>
        </references>
      </pivotArea>
    </format>
    <format dxfId="292">
      <pivotArea collapsedLevelsAreSubtotals="1" fieldPosition="0">
        <references count="2">
          <reference field="1" count="1">
            <x v="177"/>
          </reference>
          <reference field="2" count="1" selected="0">
            <x v="5"/>
          </reference>
        </references>
      </pivotArea>
    </format>
    <format dxfId="291">
      <pivotArea collapsedLevelsAreSubtotals="1" fieldPosition="0">
        <references count="2">
          <reference field="1" count="1">
            <x v="178"/>
          </reference>
          <reference field="2" count="1" selected="0">
            <x v="5"/>
          </reference>
        </references>
      </pivotArea>
    </format>
    <format dxfId="290">
      <pivotArea collapsedLevelsAreSubtotals="1" fieldPosition="0">
        <references count="2">
          <reference field="1" count="1">
            <x v="179"/>
          </reference>
          <reference field="2" count="1" selected="0">
            <x v="5"/>
          </reference>
        </references>
      </pivotArea>
    </format>
    <format dxfId="289">
      <pivotArea collapsedLevelsAreSubtotals="1" fieldPosition="0">
        <references count="2">
          <reference field="1" count="1">
            <x v="180"/>
          </reference>
          <reference field="2" count="1" selected="0">
            <x v="5"/>
          </reference>
        </references>
      </pivotArea>
    </format>
    <format dxfId="288">
      <pivotArea collapsedLevelsAreSubtotals="1" fieldPosition="0">
        <references count="2">
          <reference field="1" count="1">
            <x v="181"/>
          </reference>
          <reference field="2" count="1" selected="0">
            <x v="5"/>
          </reference>
        </references>
      </pivotArea>
    </format>
    <format dxfId="287">
      <pivotArea collapsedLevelsAreSubtotals="1" fieldPosition="0">
        <references count="2">
          <reference field="1" count="1">
            <x v="182"/>
          </reference>
          <reference field="2" count="1" selected="0">
            <x v="5"/>
          </reference>
        </references>
      </pivotArea>
    </format>
    <format dxfId="286">
      <pivotArea collapsedLevelsAreSubtotals="1" fieldPosition="0">
        <references count="2">
          <reference field="1" count="1">
            <x v="183"/>
          </reference>
          <reference field="2" count="1" selected="0">
            <x v="5"/>
          </reference>
        </references>
      </pivotArea>
    </format>
    <format dxfId="285">
      <pivotArea collapsedLevelsAreSubtotals="1" fieldPosition="0">
        <references count="2">
          <reference field="1" count="1">
            <x v="184"/>
          </reference>
          <reference field="2" count="1" selected="0">
            <x v="5"/>
          </reference>
        </references>
      </pivotArea>
    </format>
    <format dxfId="284">
      <pivotArea collapsedLevelsAreSubtotals="1" fieldPosition="0">
        <references count="1">
          <reference field="2" count="1">
            <x v="7"/>
          </reference>
        </references>
      </pivotArea>
    </format>
    <format dxfId="283">
      <pivotArea collapsedLevelsAreSubtotals="1" fieldPosition="0">
        <references count="2">
          <reference field="1" count="1">
            <x v="300"/>
          </reference>
          <reference field="2" count="1" selected="0">
            <x v="7"/>
          </reference>
        </references>
      </pivotArea>
    </format>
    <format dxfId="282">
      <pivotArea collapsedLevelsAreSubtotals="1" fieldPosition="0">
        <references count="2">
          <reference field="1" count="1">
            <x v="216"/>
          </reference>
          <reference field="2" count="1" selected="0">
            <x v="7"/>
          </reference>
        </references>
      </pivotArea>
    </format>
    <format dxfId="281">
      <pivotArea collapsedLevelsAreSubtotals="1" fieldPosition="0">
        <references count="2">
          <reference field="1" count="1">
            <x v="217"/>
          </reference>
          <reference field="2" count="1" selected="0">
            <x v="7"/>
          </reference>
        </references>
      </pivotArea>
    </format>
    <format dxfId="280">
      <pivotArea collapsedLevelsAreSubtotals="1" fieldPosition="0">
        <references count="2">
          <reference field="1" count="1">
            <x v="218"/>
          </reference>
          <reference field="2" count="1" selected="0">
            <x v="7"/>
          </reference>
        </references>
      </pivotArea>
    </format>
    <format dxfId="279">
      <pivotArea collapsedLevelsAreSubtotals="1" fieldPosition="0">
        <references count="2">
          <reference field="1" count="1">
            <x v="219"/>
          </reference>
          <reference field="2" count="1" selected="0">
            <x v="7"/>
          </reference>
        </references>
      </pivotArea>
    </format>
    <format dxfId="278">
      <pivotArea collapsedLevelsAreSubtotals="1" fieldPosition="0">
        <references count="2">
          <reference field="1" count="1">
            <x v="220"/>
          </reference>
          <reference field="2" count="1" selected="0">
            <x v="7"/>
          </reference>
        </references>
      </pivotArea>
    </format>
    <format dxfId="277">
      <pivotArea collapsedLevelsAreSubtotals="1" fieldPosition="0">
        <references count="2">
          <reference field="1" count="1">
            <x v="221"/>
          </reference>
          <reference field="2" count="1" selected="0">
            <x v="7"/>
          </reference>
        </references>
      </pivotArea>
    </format>
    <format dxfId="276">
      <pivotArea collapsedLevelsAreSubtotals="1" fieldPosition="0">
        <references count="2">
          <reference field="1" count="1">
            <x v="222"/>
          </reference>
          <reference field="2" count="1" selected="0">
            <x v="7"/>
          </reference>
        </references>
      </pivotArea>
    </format>
    <format dxfId="275">
      <pivotArea collapsedLevelsAreSubtotals="1" fieldPosition="0">
        <references count="2">
          <reference field="1" count="1">
            <x v="223"/>
          </reference>
          <reference field="2" count="1" selected="0">
            <x v="7"/>
          </reference>
        </references>
      </pivotArea>
    </format>
    <format dxfId="274">
      <pivotArea collapsedLevelsAreSubtotals="1" fieldPosition="0">
        <references count="2">
          <reference field="1" count="1">
            <x v="301"/>
          </reference>
          <reference field="2" count="1" selected="0">
            <x v="7"/>
          </reference>
        </references>
      </pivotArea>
    </format>
    <format dxfId="273">
      <pivotArea collapsedLevelsAreSubtotals="1" fieldPosition="0">
        <references count="2">
          <reference field="1" count="1">
            <x v="224"/>
          </reference>
          <reference field="2" count="1" selected="0">
            <x v="7"/>
          </reference>
        </references>
      </pivotArea>
    </format>
    <format dxfId="272">
      <pivotArea collapsedLevelsAreSubtotals="1" fieldPosition="0">
        <references count="2">
          <reference field="1" count="1">
            <x v="225"/>
          </reference>
          <reference field="2" count="1" selected="0">
            <x v="7"/>
          </reference>
        </references>
      </pivotArea>
    </format>
    <format dxfId="271">
      <pivotArea collapsedLevelsAreSubtotals="1" fieldPosition="0">
        <references count="2">
          <reference field="1" count="1">
            <x v="226"/>
          </reference>
          <reference field="2" count="1" selected="0">
            <x v="7"/>
          </reference>
        </references>
      </pivotArea>
    </format>
    <format dxfId="270">
      <pivotArea collapsedLevelsAreSubtotals="1" fieldPosition="0">
        <references count="2">
          <reference field="1" count="1">
            <x v="227"/>
          </reference>
          <reference field="2" count="1" selected="0">
            <x v="7"/>
          </reference>
        </references>
      </pivotArea>
    </format>
    <format dxfId="269">
      <pivotArea collapsedLevelsAreSubtotals="1" fieldPosition="0">
        <references count="2">
          <reference field="1" count="1">
            <x v="228"/>
          </reference>
          <reference field="2" count="1" selected="0">
            <x v="7"/>
          </reference>
        </references>
      </pivotArea>
    </format>
    <format dxfId="268">
      <pivotArea collapsedLevelsAreSubtotals="1" fieldPosition="0">
        <references count="2">
          <reference field="1" count="1">
            <x v="229"/>
          </reference>
          <reference field="2" count="1" selected="0">
            <x v="7"/>
          </reference>
        </references>
      </pivotArea>
    </format>
    <format dxfId="267">
      <pivotArea collapsedLevelsAreSubtotals="1" fieldPosition="0">
        <references count="2">
          <reference field="1" count="1">
            <x v="230"/>
          </reference>
          <reference field="2" count="1" selected="0">
            <x v="7"/>
          </reference>
        </references>
      </pivotArea>
    </format>
    <format dxfId="266">
      <pivotArea collapsedLevelsAreSubtotals="1" fieldPosition="0">
        <references count="2">
          <reference field="1" count="1">
            <x v="231"/>
          </reference>
          <reference field="2" count="1" selected="0">
            <x v="7"/>
          </reference>
        </references>
      </pivotArea>
    </format>
    <format dxfId="265">
      <pivotArea collapsedLevelsAreSubtotals="1" fieldPosition="0">
        <references count="2">
          <reference field="1" count="1">
            <x v="232"/>
          </reference>
          <reference field="2" count="1" selected="0">
            <x v="7"/>
          </reference>
        </references>
      </pivotArea>
    </format>
    <format dxfId="264">
      <pivotArea collapsedLevelsAreSubtotals="1" fieldPosition="0">
        <references count="2">
          <reference field="1" count="1">
            <x v="233"/>
          </reference>
          <reference field="2" count="1" selected="0">
            <x v="7"/>
          </reference>
        </references>
      </pivotArea>
    </format>
    <format dxfId="263">
      <pivotArea collapsedLevelsAreSubtotals="1" fieldPosition="0">
        <references count="2">
          <reference field="1" count="1">
            <x v="302"/>
          </reference>
          <reference field="2" count="1" selected="0">
            <x v="7"/>
          </reference>
        </references>
      </pivotArea>
    </format>
    <format dxfId="262">
      <pivotArea collapsedLevelsAreSubtotals="1" fieldPosition="0">
        <references count="2">
          <reference field="1" count="1">
            <x v="234"/>
          </reference>
          <reference field="2" count="1" selected="0">
            <x v="7"/>
          </reference>
        </references>
      </pivotArea>
    </format>
    <format dxfId="261">
      <pivotArea collapsedLevelsAreSubtotals="1" fieldPosition="0">
        <references count="2">
          <reference field="1" count="1">
            <x v="235"/>
          </reference>
          <reference field="2" count="1" selected="0">
            <x v="7"/>
          </reference>
        </references>
      </pivotArea>
    </format>
    <format dxfId="260">
      <pivotArea collapsedLevelsAreSubtotals="1" fieldPosition="0">
        <references count="2">
          <reference field="1" count="1">
            <x v="236"/>
          </reference>
          <reference field="2" count="1" selected="0">
            <x v="7"/>
          </reference>
        </references>
      </pivotArea>
    </format>
    <format dxfId="259">
      <pivotArea collapsedLevelsAreSubtotals="1" fieldPosition="0">
        <references count="2">
          <reference field="1" count="1">
            <x v="237"/>
          </reference>
          <reference field="2" count="1" selected="0">
            <x v="7"/>
          </reference>
        </references>
      </pivotArea>
    </format>
    <format dxfId="258">
      <pivotArea collapsedLevelsAreSubtotals="1" fieldPosition="0">
        <references count="2">
          <reference field="1" count="1">
            <x v="238"/>
          </reference>
          <reference field="2" count="1" selected="0">
            <x v="7"/>
          </reference>
        </references>
      </pivotArea>
    </format>
    <format dxfId="257">
      <pivotArea collapsedLevelsAreSubtotals="1" fieldPosition="0">
        <references count="2">
          <reference field="1" count="1">
            <x v="239"/>
          </reference>
          <reference field="2" count="1" selected="0">
            <x v="7"/>
          </reference>
        </references>
      </pivotArea>
    </format>
    <format dxfId="256">
      <pivotArea collapsedLevelsAreSubtotals="1" fieldPosition="0">
        <references count="2">
          <reference field="1" count="1">
            <x v="240"/>
          </reference>
          <reference field="2" count="1" selected="0">
            <x v="7"/>
          </reference>
        </references>
      </pivotArea>
    </format>
    <format dxfId="255">
      <pivotArea collapsedLevelsAreSubtotals="1" fieldPosition="0">
        <references count="2">
          <reference field="1" count="1">
            <x v="241"/>
          </reference>
          <reference field="2" count="1" selected="0">
            <x v="7"/>
          </reference>
        </references>
      </pivotArea>
    </format>
    <format dxfId="254">
      <pivotArea collapsedLevelsAreSubtotals="1" fieldPosition="0">
        <references count="2">
          <reference field="1" count="1">
            <x v="242"/>
          </reference>
          <reference field="2" count="1" selected="0">
            <x v="7"/>
          </reference>
        </references>
      </pivotArea>
    </format>
    <format dxfId="253">
      <pivotArea collapsedLevelsAreSubtotals="1" fieldPosition="0">
        <references count="1">
          <reference field="2" count="1">
            <x v="4"/>
          </reference>
        </references>
      </pivotArea>
    </format>
    <format dxfId="252">
      <pivotArea collapsedLevelsAreSubtotals="1" fieldPosition="0">
        <references count="2">
          <reference field="1" count="1">
            <x v="123"/>
          </reference>
          <reference field="2" count="1" selected="0">
            <x v="4"/>
          </reference>
        </references>
      </pivotArea>
    </format>
    <format dxfId="251">
      <pivotArea collapsedLevelsAreSubtotals="1" fieldPosition="0">
        <references count="2">
          <reference field="1" count="1">
            <x v="124"/>
          </reference>
          <reference field="2" count="1" selected="0">
            <x v="4"/>
          </reference>
        </references>
      </pivotArea>
    </format>
    <format dxfId="250">
      <pivotArea collapsedLevelsAreSubtotals="1" fieldPosition="0">
        <references count="2">
          <reference field="1" count="1">
            <x v="125"/>
          </reference>
          <reference field="2" count="1" selected="0">
            <x v="4"/>
          </reference>
        </references>
      </pivotArea>
    </format>
    <format dxfId="249">
      <pivotArea collapsedLevelsAreSubtotals="1" fieldPosition="0">
        <references count="2">
          <reference field="1" count="1">
            <x v="126"/>
          </reference>
          <reference field="2" count="1" selected="0">
            <x v="4"/>
          </reference>
        </references>
      </pivotArea>
    </format>
    <format dxfId="248">
      <pivotArea collapsedLevelsAreSubtotals="1" fieldPosition="0">
        <references count="2">
          <reference field="1" count="1">
            <x v="127"/>
          </reference>
          <reference field="2" count="1" selected="0">
            <x v="4"/>
          </reference>
        </references>
      </pivotArea>
    </format>
    <format dxfId="247">
      <pivotArea collapsedLevelsAreSubtotals="1" fieldPosition="0">
        <references count="2">
          <reference field="1" count="1">
            <x v="128"/>
          </reference>
          <reference field="2" count="1" selected="0">
            <x v="4"/>
          </reference>
        </references>
      </pivotArea>
    </format>
    <format dxfId="246">
      <pivotArea collapsedLevelsAreSubtotals="1" fieldPosition="0">
        <references count="2">
          <reference field="1" count="1">
            <x v="129"/>
          </reference>
          <reference field="2" count="1" selected="0">
            <x v="4"/>
          </reference>
        </references>
      </pivotArea>
    </format>
    <format dxfId="245">
      <pivotArea collapsedLevelsAreSubtotals="1" fieldPosition="0">
        <references count="2">
          <reference field="1" count="1">
            <x v="130"/>
          </reference>
          <reference field="2" count="1" selected="0">
            <x v="4"/>
          </reference>
        </references>
      </pivotArea>
    </format>
    <format dxfId="244">
      <pivotArea collapsedLevelsAreSubtotals="1" fieldPosition="0">
        <references count="2">
          <reference field="1" count="1">
            <x v="131"/>
          </reference>
          <reference field="2" count="1" selected="0">
            <x v="4"/>
          </reference>
        </references>
      </pivotArea>
    </format>
    <format dxfId="243">
      <pivotArea collapsedLevelsAreSubtotals="1" fieldPosition="0">
        <references count="2">
          <reference field="1" count="1">
            <x v="132"/>
          </reference>
          <reference field="2" count="1" selected="0">
            <x v="4"/>
          </reference>
        </references>
      </pivotArea>
    </format>
    <format dxfId="242">
      <pivotArea collapsedLevelsAreSubtotals="1" fieldPosition="0">
        <references count="2">
          <reference field="1" count="1">
            <x v="133"/>
          </reference>
          <reference field="2" count="1" selected="0">
            <x v="4"/>
          </reference>
        </references>
      </pivotArea>
    </format>
    <format dxfId="241">
      <pivotArea collapsedLevelsAreSubtotals="1" fieldPosition="0">
        <references count="2">
          <reference field="1" count="1">
            <x v="134"/>
          </reference>
          <reference field="2" count="1" selected="0">
            <x v="4"/>
          </reference>
        </references>
      </pivotArea>
    </format>
    <format dxfId="240">
      <pivotArea collapsedLevelsAreSubtotals="1" fieldPosition="0">
        <references count="2">
          <reference field="1" count="1">
            <x v="135"/>
          </reference>
          <reference field="2" count="1" selected="0">
            <x v="4"/>
          </reference>
        </references>
      </pivotArea>
    </format>
    <format dxfId="239">
      <pivotArea collapsedLevelsAreSubtotals="1" fieldPosition="0">
        <references count="2">
          <reference field="1" count="1">
            <x v="136"/>
          </reference>
          <reference field="2" count="1" selected="0">
            <x v="4"/>
          </reference>
        </references>
      </pivotArea>
    </format>
    <format dxfId="238">
      <pivotArea collapsedLevelsAreSubtotals="1" fieldPosition="0">
        <references count="2">
          <reference field="1" count="1">
            <x v="137"/>
          </reference>
          <reference field="2" count="1" selected="0">
            <x v="4"/>
          </reference>
        </references>
      </pivotArea>
    </format>
    <format dxfId="237">
      <pivotArea collapsedLevelsAreSubtotals="1" fieldPosition="0">
        <references count="2">
          <reference field="1" count="1">
            <x v="138"/>
          </reference>
          <reference field="2" count="1" selected="0">
            <x v="4"/>
          </reference>
        </references>
      </pivotArea>
    </format>
    <format dxfId="236">
      <pivotArea collapsedLevelsAreSubtotals="1" fieldPosition="0">
        <references count="2">
          <reference field="1" count="1">
            <x v="139"/>
          </reference>
          <reference field="2" count="1" selected="0">
            <x v="4"/>
          </reference>
        </references>
      </pivotArea>
    </format>
    <format dxfId="235">
      <pivotArea collapsedLevelsAreSubtotals="1" fieldPosition="0">
        <references count="2">
          <reference field="1" count="1">
            <x v="140"/>
          </reference>
          <reference field="2" count="1" selected="0">
            <x v="4"/>
          </reference>
        </references>
      </pivotArea>
    </format>
    <format dxfId="234">
      <pivotArea collapsedLevelsAreSubtotals="1" fieldPosition="0">
        <references count="2">
          <reference field="1" count="1">
            <x v="141"/>
          </reference>
          <reference field="2" count="1" selected="0">
            <x v="4"/>
          </reference>
        </references>
      </pivotArea>
    </format>
    <format dxfId="233">
      <pivotArea collapsedLevelsAreSubtotals="1" fieldPosition="0">
        <references count="2">
          <reference field="1" count="1">
            <x v="142"/>
          </reference>
          <reference field="2" count="1" selected="0">
            <x v="4"/>
          </reference>
        </references>
      </pivotArea>
    </format>
    <format dxfId="232">
      <pivotArea collapsedLevelsAreSubtotals="1" fieldPosition="0">
        <references count="2">
          <reference field="1" count="1">
            <x v="143"/>
          </reference>
          <reference field="2" count="1" selected="0">
            <x v="4"/>
          </reference>
        </references>
      </pivotArea>
    </format>
    <format dxfId="231">
      <pivotArea collapsedLevelsAreSubtotals="1" fieldPosition="0">
        <references count="2">
          <reference field="1" count="1">
            <x v="144"/>
          </reference>
          <reference field="2" count="1" selected="0">
            <x v="4"/>
          </reference>
        </references>
      </pivotArea>
    </format>
    <format dxfId="230">
      <pivotArea collapsedLevelsAreSubtotals="1" fieldPosition="0">
        <references count="2">
          <reference field="1" count="1">
            <x v="145"/>
          </reference>
          <reference field="2" count="1" selected="0">
            <x v="4"/>
          </reference>
        </references>
      </pivotArea>
    </format>
    <format dxfId="229">
      <pivotArea collapsedLevelsAreSubtotals="1" fieldPosition="0">
        <references count="2">
          <reference field="1" count="1">
            <x v="146"/>
          </reference>
          <reference field="2" count="1" selected="0">
            <x v="4"/>
          </reference>
        </references>
      </pivotArea>
    </format>
    <format dxfId="228">
      <pivotArea collapsedLevelsAreSubtotals="1" fieldPosition="0">
        <references count="2">
          <reference field="1" count="1">
            <x v="147"/>
          </reference>
          <reference field="2" count="1" selected="0">
            <x v="4"/>
          </reference>
        </references>
      </pivotArea>
    </format>
    <format dxfId="227">
      <pivotArea collapsedLevelsAreSubtotals="1" fieldPosition="0">
        <references count="2">
          <reference field="1" count="1">
            <x v="148"/>
          </reference>
          <reference field="2" count="1" selected="0">
            <x v="4"/>
          </reference>
        </references>
      </pivotArea>
    </format>
    <format dxfId="226">
      <pivotArea collapsedLevelsAreSubtotals="1" fieldPosition="0">
        <references count="2">
          <reference field="1" count="1">
            <x v="149"/>
          </reference>
          <reference field="2" count="1" selected="0">
            <x v="4"/>
          </reference>
        </references>
      </pivotArea>
    </format>
    <format dxfId="225">
      <pivotArea collapsedLevelsAreSubtotals="1" fieldPosition="0">
        <references count="2">
          <reference field="1" count="1">
            <x v="150"/>
          </reference>
          <reference field="2" count="1" selected="0">
            <x v="4"/>
          </reference>
        </references>
      </pivotArea>
    </format>
    <format dxfId="224">
      <pivotArea collapsedLevelsAreSubtotals="1" fieldPosition="0">
        <references count="2">
          <reference field="1" count="1">
            <x v="151"/>
          </reference>
          <reference field="2" count="1" selected="0">
            <x v="4"/>
          </reference>
        </references>
      </pivotArea>
    </format>
    <format dxfId="223">
      <pivotArea collapsedLevelsAreSubtotals="1" fieldPosition="0">
        <references count="2">
          <reference field="1" count="1">
            <x v="152"/>
          </reference>
          <reference field="2" count="1" selected="0">
            <x v="4"/>
          </reference>
        </references>
      </pivotArea>
    </format>
    <format dxfId="222">
      <pivotArea collapsedLevelsAreSubtotals="1" fieldPosition="0">
        <references count="2">
          <reference field="1" count="1">
            <x v="153"/>
          </reference>
          <reference field="2" count="1" selected="0">
            <x v="4"/>
          </reference>
        </references>
      </pivotArea>
    </format>
    <format dxfId="221">
      <pivotArea collapsedLevelsAreSubtotals="1" fieldPosition="0">
        <references count="1">
          <reference field="2" count="1">
            <x v="2"/>
          </reference>
        </references>
      </pivotArea>
    </format>
    <format dxfId="220">
      <pivotArea collapsedLevelsAreSubtotals="1" fieldPosition="0">
        <references count="2">
          <reference field="1" count="1">
            <x v="62"/>
          </reference>
          <reference field="2" count="1" selected="0">
            <x v="2"/>
          </reference>
        </references>
      </pivotArea>
    </format>
    <format dxfId="219">
      <pivotArea collapsedLevelsAreSubtotals="1" fieldPosition="0">
        <references count="2">
          <reference field="1" count="1">
            <x v="63"/>
          </reference>
          <reference field="2" count="1" selected="0">
            <x v="2"/>
          </reference>
        </references>
      </pivotArea>
    </format>
    <format dxfId="218">
      <pivotArea collapsedLevelsAreSubtotals="1" fieldPosition="0">
        <references count="2">
          <reference field="1" count="1">
            <x v="64"/>
          </reference>
          <reference field="2" count="1" selected="0">
            <x v="2"/>
          </reference>
        </references>
      </pivotArea>
    </format>
    <format dxfId="217">
      <pivotArea collapsedLevelsAreSubtotals="1" fieldPosition="0">
        <references count="2">
          <reference field="1" count="1">
            <x v="65"/>
          </reference>
          <reference field="2" count="1" selected="0">
            <x v="2"/>
          </reference>
        </references>
      </pivotArea>
    </format>
    <format dxfId="216">
      <pivotArea collapsedLevelsAreSubtotals="1" fieldPosition="0">
        <references count="2">
          <reference field="1" count="1">
            <x v="66"/>
          </reference>
          <reference field="2" count="1" selected="0">
            <x v="2"/>
          </reference>
        </references>
      </pivotArea>
    </format>
    <format dxfId="215">
      <pivotArea collapsedLevelsAreSubtotals="1" fieldPosition="0">
        <references count="2">
          <reference field="1" count="1">
            <x v="67"/>
          </reference>
          <reference field="2" count="1" selected="0">
            <x v="2"/>
          </reference>
        </references>
      </pivotArea>
    </format>
    <format dxfId="214">
      <pivotArea collapsedLevelsAreSubtotals="1" fieldPosition="0">
        <references count="2">
          <reference field="1" count="1">
            <x v="68"/>
          </reference>
          <reference field="2" count="1" selected="0">
            <x v="2"/>
          </reference>
        </references>
      </pivotArea>
    </format>
    <format dxfId="213">
      <pivotArea collapsedLevelsAreSubtotals="1" fieldPosition="0">
        <references count="2">
          <reference field="1" count="1">
            <x v="69"/>
          </reference>
          <reference field="2" count="1" selected="0">
            <x v="2"/>
          </reference>
        </references>
      </pivotArea>
    </format>
    <format dxfId="212">
      <pivotArea collapsedLevelsAreSubtotals="1" fieldPosition="0">
        <references count="2">
          <reference field="1" count="1">
            <x v="70"/>
          </reference>
          <reference field="2" count="1" selected="0">
            <x v="2"/>
          </reference>
        </references>
      </pivotArea>
    </format>
    <format dxfId="211">
      <pivotArea collapsedLevelsAreSubtotals="1" fieldPosition="0">
        <references count="2">
          <reference field="1" count="1">
            <x v="71"/>
          </reference>
          <reference field="2" count="1" selected="0">
            <x v="2"/>
          </reference>
        </references>
      </pivotArea>
    </format>
    <format dxfId="210">
      <pivotArea collapsedLevelsAreSubtotals="1" fieldPosition="0">
        <references count="2">
          <reference field="1" count="1">
            <x v="72"/>
          </reference>
          <reference field="2" count="1" selected="0">
            <x v="2"/>
          </reference>
        </references>
      </pivotArea>
    </format>
    <format dxfId="209">
      <pivotArea collapsedLevelsAreSubtotals="1" fieldPosition="0">
        <references count="2">
          <reference field="1" count="1">
            <x v="73"/>
          </reference>
          <reference field="2" count="1" selected="0">
            <x v="2"/>
          </reference>
        </references>
      </pivotArea>
    </format>
    <format dxfId="208">
      <pivotArea collapsedLevelsAreSubtotals="1" fieldPosition="0">
        <references count="2">
          <reference field="1" count="1">
            <x v="74"/>
          </reference>
          <reference field="2" count="1" selected="0">
            <x v="2"/>
          </reference>
        </references>
      </pivotArea>
    </format>
    <format dxfId="207">
      <pivotArea collapsedLevelsAreSubtotals="1" fieldPosition="0">
        <references count="2">
          <reference field="1" count="1">
            <x v="75"/>
          </reference>
          <reference field="2" count="1" selected="0">
            <x v="2"/>
          </reference>
        </references>
      </pivotArea>
    </format>
    <format dxfId="206">
      <pivotArea collapsedLevelsAreSubtotals="1" fieldPosition="0">
        <references count="2">
          <reference field="1" count="1">
            <x v="76"/>
          </reference>
          <reference field="2" count="1" selected="0">
            <x v="2"/>
          </reference>
        </references>
      </pivotArea>
    </format>
    <format dxfId="205">
      <pivotArea collapsedLevelsAreSubtotals="1" fieldPosition="0">
        <references count="2">
          <reference field="1" count="1">
            <x v="77"/>
          </reference>
          <reference field="2" count="1" selected="0">
            <x v="2"/>
          </reference>
        </references>
      </pivotArea>
    </format>
    <format dxfId="204">
      <pivotArea collapsedLevelsAreSubtotals="1" fieldPosition="0">
        <references count="2">
          <reference field="1" count="1">
            <x v="78"/>
          </reference>
          <reference field="2" count="1" selected="0">
            <x v="2"/>
          </reference>
        </references>
      </pivotArea>
    </format>
    <format dxfId="203">
      <pivotArea collapsedLevelsAreSubtotals="1" fieldPosition="0">
        <references count="2">
          <reference field="1" count="1">
            <x v="79"/>
          </reference>
          <reference field="2" count="1" selected="0">
            <x v="2"/>
          </reference>
        </references>
      </pivotArea>
    </format>
    <format dxfId="202">
      <pivotArea collapsedLevelsAreSubtotals="1" fieldPosition="0">
        <references count="2">
          <reference field="1" count="1">
            <x v="80"/>
          </reference>
          <reference field="2" count="1" selected="0">
            <x v="2"/>
          </reference>
        </references>
      </pivotArea>
    </format>
    <format dxfId="201">
      <pivotArea collapsedLevelsAreSubtotals="1" fieldPosition="0">
        <references count="2">
          <reference field="1" count="1">
            <x v="81"/>
          </reference>
          <reference field="2" count="1" selected="0">
            <x v="2"/>
          </reference>
        </references>
      </pivotArea>
    </format>
    <format dxfId="200">
      <pivotArea collapsedLevelsAreSubtotals="1" fieldPosition="0">
        <references count="2">
          <reference field="1" count="1">
            <x v="82"/>
          </reference>
          <reference field="2" count="1" selected="0">
            <x v="2"/>
          </reference>
        </references>
      </pivotArea>
    </format>
    <format dxfId="199">
      <pivotArea collapsedLevelsAreSubtotals="1" fieldPosition="0">
        <references count="2">
          <reference field="1" count="1">
            <x v="83"/>
          </reference>
          <reference field="2" count="1" selected="0">
            <x v="2"/>
          </reference>
        </references>
      </pivotArea>
    </format>
    <format dxfId="198">
      <pivotArea collapsedLevelsAreSubtotals="1" fieldPosition="0">
        <references count="2">
          <reference field="1" count="1">
            <x v="84"/>
          </reference>
          <reference field="2" count="1" selected="0">
            <x v="2"/>
          </reference>
        </references>
      </pivotArea>
    </format>
    <format dxfId="197">
      <pivotArea collapsedLevelsAreSubtotals="1" fieldPosition="0">
        <references count="2">
          <reference field="1" count="1">
            <x v="85"/>
          </reference>
          <reference field="2" count="1" selected="0">
            <x v="2"/>
          </reference>
        </references>
      </pivotArea>
    </format>
    <format dxfId="196">
      <pivotArea collapsedLevelsAreSubtotals="1" fieldPosition="0">
        <references count="2">
          <reference field="1" count="1">
            <x v="86"/>
          </reference>
          <reference field="2" count="1" selected="0">
            <x v="2"/>
          </reference>
        </references>
      </pivotArea>
    </format>
    <format dxfId="195">
      <pivotArea collapsedLevelsAreSubtotals="1" fieldPosition="0">
        <references count="2">
          <reference field="1" count="1">
            <x v="87"/>
          </reference>
          <reference field="2" count="1" selected="0">
            <x v="2"/>
          </reference>
        </references>
      </pivotArea>
    </format>
    <format dxfId="194">
      <pivotArea collapsedLevelsAreSubtotals="1" fieldPosition="0">
        <references count="2">
          <reference field="1" count="1">
            <x v="88"/>
          </reference>
          <reference field="2" count="1" selected="0">
            <x v="2"/>
          </reference>
        </references>
      </pivotArea>
    </format>
    <format dxfId="193">
      <pivotArea collapsedLevelsAreSubtotals="1" fieldPosition="0">
        <references count="2">
          <reference field="1" count="1">
            <x v="89"/>
          </reference>
          <reference field="2" count="1" selected="0">
            <x v="2"/>
          </reference>
        </references>
      </pivotArea>
    </format>
    <format dxfId="192">
      <pivotArea collapsedLevelsAreSubtotals="1" fieldPosition="0">
        <references count="2">
          <reference field="1" count="1">
            <x v="90"/>
          </reference>
          <reference field="2" count="1" selected="0">
            <x v="2"/>
          </reference>
        </references>
      </pivotArea>
    </format>
    <format dxfId="191">
      <pivotArea collapsedLevelsAreSubtotals="1" fieldPosition="0">
        <references count="2">
          <reference field="1" count="1">
            <x v="91"/>
          </reference>
          <reference field="2" count="1" selected="0">
            <x v="2"/>
          </reference>
        </references>
      </pivotArea>
    </format>
    <format dxfId="190">
      <pivotArea collapsedLevelsAreSubtotals="1" fieldPosition="0">
        <references count="1">
          <reference field="2" count="1">
            <x v="3"/>
          </reference>
        </references>
      </pivotArea>
    </format>
    <format dxfId="189">
      <pivotArea collapsedLevelsAreSubtotals="1" fieldPosition="0">
        <references count="2">
          <reference field="1" count="1">
            <x v="92"/>
          </reference>
          <reference field="2" count="1" selected="0">
            <x v="3"/>
          </reference>
        </references>
      </pivotArea>
    </format>
    <format dxfId="188">
      <pivotArea collapsedLevelsAreSubtotals="1" fieldPosition="0">
        <references count="2">
          <reference field="1" count="1">
            <x v="93"/>
          </reference>
          <reference field="2" count="1" selected="0">
            <x v="3"/>
          </reference>
        </references>
      </pivotArea>
    </format>
    <format dxfId="187">
      <pivotArea collapsedLevelsAreSubtotals="1" fieldPosition="0">
        <references count="2">
          <reference field="1" count="1">
            <x v="94"/>
          </reference>
          <reference field="2" count="1" selected="0">
            <x v="3"/>
          </reference>
        </references>
      </pivotArea>
    </format>
    <format dxfId="186">
      <pivotArea collapsedLevelsAreSubtotals="1" fieldPosition="0">
        <references count="2">
          <reference field="1" count="1">
            <x v="95"/>
          </reference>
          <reference field="2" count="1" selected="0">
            <x v="3"/>
          </reference>
        </references>
      </pivotArea>
    </format>
    <format dxfId="185">
      <pivotArea collapsedLevelsAreSubtotals="1" fieldPosition="0">
        <references count="2">
          <reference field="1" count="1">
            <x v="96"/>
          </reference>
          <reference field="2" count="1" selected="0">
            <x v="3"/>
          </reference>
        </references>
      </pivotArea>
    </format>
    <format dxfId="184">
      <pivotArea collapsedLevelsAreSubtotals="1" fieldPosition="0">
        <references count="2">
          <reference field="1" count="1">
            <x v="97"/>
          </reference>
          <reference field="2" count="1" selected="0">
            <x v="3"/>
          </reference>
        </references>
      </pivotArea>
    </format>
    <format dxfId="183">
      <pivotArea collapsedLevelsAreSubtotals="1" fieldPosition="0">
        <references count="2">
          <reference field="1" count="1">
            <x v="98"/>
          </reference>
          <reference field="2" count="1" selected="0">
            <x v="3"/>
          </reference>
        </references>
      </pivotArea>
    </format>
    <format dxfId="182">
      <pivotArea collapsedLevelsAreSubtotals="1" fieldPosition="0">
        <references count="2">
          <reference field="1" count="1">
            <x v="99"/>
          </reference>
          <reference field="2" count="1" selected="0">
            <x v="3"/>
          </reference>
        </references>
      </pivotArea>
    </format>
    <format dxfId="181">
      <pivotArea collapsedLevelsAreSubtotals="1" fieldPosition="0">
        <references count="2">
          <reference field="1" count="1">
            <x v="100"/>
          </reference>
          <reference field="2" count="1" selected="0">
            <x v="3"/>
          </reference>
        </references>
      </pivotArea>
    </format>
    <format dxfId="180">
      <pivotArea collapsedLevelsAreSubtotals="1" fieldPosition="0">
        <references count="2">
          <reference field="1" count="1">
            <x v="101"/>
          </reference>
          <reference field="2" count="1" selected="0">
            <x v="3"/>
          </reference>
        </references>
      </pivotArea>
    </format>
    <format dxfId="179">
      <pivotArea collapsedLevelsAreSubtotals="1" fieldPosition="0">
        <references count="2">
          <reference field="1" count="1">
            <x v="102"/>
          </reference>
          <reference field="2" count="1" selected="0">
            <x v="3"/>
          </reference>
        </references>
      </pivotArea>
    </format>
    <format dxfId="178">
      <pivotArea collapsedLevelsAreSubtotals="1" fieldPosition="0">
        <references count="2">
          <reference field="1" count="1">
            <x v="103"/>
          </reference>
          <reference field="2" count="1" selected="0">
            <x v="3"/>
          </reference>
        </references>
      </pivotArea>
    </format>
    <format dxfId="177">
      <pivotArea collapsedLevelsAreSubtotals="1" fieldPosition="0">
        <references count="2">
          <reference field="1" count="1">
            <x v="104"/>
          </reference>
          <reference field="2" count="1" selected="0">
            <x v="3"/>
          </reference>
        </references>
      </pivotArea>
    </format>
    <format dxfId="176">
      <pivotArea collapsedLevelsAreSubtotals="1" fieldPosition="0">
        <references count="2">
          <reference field="1" count="1">
            <x v="105"/>
          </reference>
          <reference field="2" count="1" selected="0">
            <x v="3"/>
          </reference>
        </references>
      </pivotArea>
    </format>
    <format dxfId="175">
      <pivotArea collapsedLevelsAreSubtotals="1" fieldPosition="0">
        <references count="2">
          <reference field="1" count="1">
            <x v="106"/>
          </reference>
          <reference field="2" count="1" selected="0">
            <x v="3"/>
          </reference>
        </references>
      </pivotArea>
    </format>
    <format dxfId="174">
      <pivotArea collapsedLevelsAreSubtotals="1" fieldPosition="0">
        <references count="2">
          <reference field="1" count="1">
            <x v="107"/>
          </reference>
          <reference field="2" count="1" selected="0">
            <x v="3"/>
          </reference>
        </references>
      </pivotArea>
    </format>
    <format dxfId="173">
      <pivotArea collapsedLevelsAreSubtotals="1" fieldPosition="0">
        <references count="2">
          <reference field="1" count="1">
            <x v="108"/>
          </reference>
          <reference field="2" count="1" selected="0">
            <x v="3"/>
          </reference>
        </references>
      </pivotArea>
    </format>
    <format dxfId="172">
      <pivotArea collapsedLevelsAreSubtotals="1" fieldPosition="0">
        <references count="2">
          <reference field="1" count="1">
            <x v="109"/>
          </reference>
          <reference field="2" count="1" selected="0">
            <x v="3"/>
          </reference>
        </references>
      </pivotArea>
    </format>
    <format dxfId="171">
      <pivotArea collapsedLevelsAreSubtotals="1" fieldPosition="0">
        <references count="2">
          <reference field="1" count="1">
            <x v="110"/>
          </reference>
          <reference field="2" count="1" selected="0">
            <x v="3"/>
          </reference>
        </references>
      </pivotArea>
    </format>
    <format dxfId="170">
      <pivotArea collapsedLevelsAreSubtotals="1" fieldPosition="0">
        <references count="2">
          <reference field="1" count="1">
            <x v="111"/>
          </reference>
          <reference field="2" count="1" selected="0">
            <x v="3"/>
          </reference>
        </references>
      </pivotArea>
    </format>
    <format dxfId="169">
      <pivotArea collapsedLevelsAreSubtotals="1" fieldPosition="0">
        <references count="2">
          <reference field="1" count="1">
            <x v="112"/>
          </reference>
          <reference field="2" count="1" selected="0">
            <x v="3"/>
          </reference>
        </references>
      </pivotArea>
    </format>
    <format dxfId="168">
      <pivotArea collapsedLevelsAreSubtotals="1" fieldPosition="0">
        <references count="2">
          <reference field="1" count="1">
            <x v="113"/>
          </reference>
          <reference field="2" count="1" selected="0">
            <x v="3"/>
          </reference>
        </references>
      </pivotArea>
    </format>
    <format dxfId="167">
      <pivotArea collapsedLevelsAreSubtotals="1" fieldPosition="0">
        <references count="2">
          <reference field="1" count="1">
            <x v="114"/>
          </reference>
          <reference field="2" count="1" selected="0">
            <x v="3"/>
          </reference>
        </references>
      </pivotArea>
    </format>
    <format dxfId="166">
      <pivotArea collapsedLevelsAreSubtotals="1" fieldPosition="0">
        <references count="2">
          <reference field="1" count="1">
            <x v="115"/>
          </reference>
          <reference field="2" count="1" selected="0">
            <x v="3"/>
          </reference>
        </references>
      </pivotArea>
    </format>
    <format dxfId="165">
      <pivotArea collapsedLevelsAreSubtotals="1" fieldPosition="0">
        <references count="2">
          <reference field="1" count="1">
            <x v="116"/>
          </reference>
          <reference field="2" count="1" selected="0">
            <x v="3"/>
          </reference>
        </references>
      </pivotArea>
    </format>
    <format dxfId="164">
      <pivotArea collapsedLevelsAreSubtotals="1" fieldPosition="0">
        <references count="2">
          <reference field="1" count="1">
            <x v="117"/>
          </reference>
          <reference field="2" count="1" selected="0">
            <x v="3"/>
          </reference>
        </references>
      </pivotArea>
    </format>
    <format dxfId="163">
      <pivotArea collapsedLevelsAreSubtotals="1" fieldPosition="0">
        <references count="2">
          <reference field="1" count="1">
            <x v="118"/>
          </reference>
          <reference field="2" count="1" selected="0">
            <x v="3"/>
          </reference>
        </references>
      </pivotArea>
    </format>
    <format dxfId="162">
      <pivotArea collapsedLevelsAreSubtotals="1" fieldPosition="0">
        <references count="2">
          <reference field="1" count="1">
            <x v="119"/>
          </reference>
          <reference field="2" count="1" selected="0">
            <x v="3"/>
          </reference>
        </references>
      </pivotArea>
    </format>
    <format dxfId="161">
      <pivotArea collapsedLevelsAreSubtotals="1" fieldPosition="0">
        <references count="2">
          <reference field="1" count="1">
            <x v="120"/>
          </reference>
          <reference field="2" count="1" selected="0">
            <x v="3"/>
          </reference>
        </references>
      </pivotArea>
    </format>
    <format dxfId="160">
      <pivotArea collapsedLevelsAreSubtotals="1" fieldPosition="0">
        <references count="2">
          <reference field="1" count="1">
            <x v="121"/>
          </reference>
          <reference field="2" count="1" selected="0">
            <x v="3"/>
          </reference>
        </references>
      </pivotArea>
    </format>
    <format dxfId="159">
      <pivotArea collapsedLevelsAreSubtotals="1" fieldPosition="0">
        <references count="2">
          <reference field="1" count="1">
            <x v="122"/>
          </reference>
          <reference field="2" count="1" selected="0">
            <x v="3"/>
          </reference>
        </references>
      </pivotArea>
    </format>
    <format dxfId="158">
      <pivotArea collapsedLevelsAreSubtotals="1" fieldPosition="0">
        <references count="1">
          <reference field="2" count="1">
            <x v="0"/>
          </reference>
        </references>
      </pivotArea>
    </format>
    <format dxfId="157">
      <pivotArea collapsedLevelsAreSubtotals="1" fieldPosition="0">
        <references count="2">
          <reference field="1" count="1">
            <x v="0"/>
          </reference>
          <reference field="2" count="1" selected="0">
            <x v="0"/>
          </reference>
        </references>
      </pivotArea>
    </format>
    <format dxfId="156">
      <pivotArea collapsedLevelsAreSubtotals="1" fieldPosition="0">
        <references count="2">
          <reference field="1" count="1">
            <x v="1"/>
          </reference>
          <reference field="2" count="1" selected="0">
            <x v="0"/>
          </reference>
        </references>
      </pivotArea>
    </format>
    <format dxfId="155">
      <pivotArea collapsedLevelsAreSubtotals="1" fieldPosition="0">
        <references count="2">
          <reference field="1" count="1">
            <x v="2"/>
          </reference>
          <reference field="2" count="1" selected="0">
            <x v="0"/>
          </reference>
        </references>
      </pivotArea>
    </format>
    <format dxfId="154">
      <pivotArea collapsedLevelsAreSubtotals="1" fieldPosition="0">
        <references count="2">
          <reference field="1" count="1">
            <x v="3"/>
          </reference>
          <reference field="2" count="1" selected="0">
            <x v="0"/>
          </reference>
        </references>
      </pivotArea>
    </format>
    <format dxfId="153">
      <pivotArea collapsedLevelsAreSubtotals="1" fieldPosition="0">
        <references count="2">
          <reference field="1" count="1">
            <x v="4"/>
          </reference>
          <reference field="2" count="1" selected="0">
            <x v="0"/>
          </reference>
        </references>
      </pivotArea>
    </format>
    <format dxfId="152">
      <pivotArea collapsedLevelsAreSubtotals="1" fieldPosition="0">
        <references count="2">
          <reference field="1" count="1">
            <x v="5"/>
          </reference>
          <reference field="2" count="1" selected="0">
            <x v="0"/>
          </reference>
        </references>
      </pivotArea>
    </format>
    <format dxfId="151">
      <pivotArea collapsedLevelsAreSubtotals="1" fieldPosition="0">
        <references count="2">
          <reference field="1" count="1">
            <x v="6"/>
          </reference>
          <reference field="2" count="1" selected="0">
            <x v="0"/>
          </reference>
        </references>
      </pivotArea>
    </format>
    <format dxfId="150">
      <pivotArea collapsedLevelsAreSubtotals="1" fieldPosition="0">
        <references count="2">
          <reference field="1" count="1">
            <x v="7"/>
          </reference>
          <reference field="2" count="1" selected="0">
            <x v="0"/>
          </reference>
        </references>
      </pivotArea>
    </format>
    <format dxfId="149">
      <pivotArea collapsedLevelsAreSubtotals="1" fieldPosition="0">
        <references count="2">
          <reference field="1" count="1">
            <x v="8"/>
          </reference>
          <reference field="2" count="1" selected="0">
            <x v="0"/>
          </reference>
        </references>
      </pivotArea>
    </format>
    <format dxfId="148">
      <pivotArea collapsedLevelsAreSubtotals="1" fieldPosition="0">
        <references count="2">
          <reference field="1" count="1">
            <x v="9"/>
          </reference>
          <reference field="2" count="1" selected="0">
            <x v="0"/>
          </reference>
        </references>
      </pivotArea>
    </format>
    <format dxfId="147">
      <pivotArea collapsedLevelsAreSubtotals="1" fieldPosition="0">
        <references count="2">
          <reference field="1" count="1">
            <x v="10"/>
          </reference>
          <reference field="2" count="1" selected="0">
            <x v="0"/>
          </reference>
        </references>
      </pivotArea>
    </format>
    <format dxfId="146">
      <pivotArea collapsedLevelsAreSubtotals="1" fieldPosition="0">
        <references count="2">
          <reference field="1" count="1">
            <x v="11"/>
          </reference>
          <reference field="2" count="1" selected="0">
            <x v="0"/>
          </reference>
        </references>
      </pivotArea>
    </format>
    <format dxfId="145">
      <pivotArea collapsedLevelsAreSubtotals="1" fieldPosition="0">
        <references count="2">
          <reference field="1" count="1">
            <x v="12"/>
          </reference>
          <reference field="2" count="1" selected="0">
            <x v="0"/>
          </reference>
        </references>
      </pivotArea>
    </format>
    <format dxfId="144">
      <pivotArea collapsedLevelsAreSubtotals="1" fieldPosition="0">
        <references count="2">
          <reference field="1" count="1">
            <x v="13"/>
          </reference>
          <reference field="2" count="1" selected="0">
            <x v="0"/>
          </reference>
        </references>
      </pivotArea>
    </format>
    <format dxfId="143">
      <pivotArea collapsedLevelsAreSubtotals="1" fieldPosition="0">
        <references count="2">
          <reference field="1" count="1">
            <x v="14"/>
          </reference>
          <reference field="2" count="1" selected="0">
            <x v="0"/>
          </reference>
        </references>
      </pivotArea>
    </format>
    <format dxfId="142">
      <pivotArea collapsedLevelsAreSubtotals="1" fieldPosition="0">
        <references count="2">
          <reference field="1" count="1">
            <x v="15"/>
          </reference>
          <reference field="2" count="1" selected="0">
            <x v="0"/>
          </reference>
        </references>
      </pivotArea>
    </format>
    <format dxfId="141">
      <pivotArea collapsedLevelsAreSubtotals="1" fieldPosition="0">
        <references count="2">
          <reference field="1" count="1">
            <x v="16"/>
          </reference>
          <reference field="2" count="1" selected="0">
            <x v="0"/>
          </reference>
        </references>
      </pivotArea>
    </format>
    <format dxfId="140">
      <pivotArea collapsedLevelsAreSubtotals="1" fieldPosition="0">
        <references count="2">
          <reference field="1" count="1">
            <x v="17"/>
          </reference>
          <reference field="2" count="1" selected="0">
            <x v="0"/>
          </reference>
        </references>
      </pivotArea>
    </format>
    <format dxfId="139">
      <pivotArea collapsedLevelsAreSubtotals="1" fieldPosition="0">
        <references count="2">
          <reference field="1" count="1">
            <x v="18"/>
          </reference>
          <reference field="2" count="1" selected="0">
            <x v="0"/>
          </reference>
        </references>
      </pivotArea>
    </format>
    <format dxfId="138">
      <pivotArea collapsedLevelsAreSubtotals="1" fieldPosition="0">
        <references count="2">
          <reference field="1" count="1">
            <x v="19"/>
          </reference>
          <reference field="2" count="1" selected="0">
            <x v="0"/>
          </reference>
        </references>
      </pivotArea>
    </format>
    <format dxfId="137">
      <pivotArea collapsedLevelsAreSubtotals="1" fieldPosition="0">
        <references count="2">
          <reference field="1" count="1">
            <x v="20"/>
          </reference>
          <reference field="2" count="1" selected="0">
            <x v="0"/>
          </reference>
        </references>
      </pivotArea>
    </format>
    <format dxfId="136">
      <pivotArea collapsedLevelsAreSubtotals="1" fieldPosition="0">
        <references count="2">
          <reference field="1" count="1">
            <x v="21"/>
          </reference>
          <reference field="2" count="1" selected="0">
            <x v="0"/>
          </reference>
        </references>
      </pivotArea>
    </format>
    <format dxfId="135">
      <pivotArea collapsedLevelsAreSubtotals="1" fieldPosition="0">
        <references count="2">
          <reference field="1" count="1">
            <x v="22"/>
          </reference>
          <reference field="2" count="1" selected="0">
            <x v="0"/>
          </reference>
        </references>
      </pivotArea>
    </format>
    <format dxfId="134">
      <pivotArea collapsedLevelsAreSubtotals="1" fieldPosition="0">
        <references count="2">
          <reference field="1" count="1">
            <x v="23"/>
          </reference>
          <reference field="2" count="1" selected="0">
            <x v="0"/>
          </reference>
        </references>
      </pivotArea>
    </format>
    <format dxfId="133">
      <pivotArea collapsedLevelsAreSubtotals="1" fieldPosition="0">
        <references count="2">
          <reference field="1" count="1">
            <x v="24"/>
          </reference>
          <reference field="2" count="1" selected="0">
            <x v="0"/>
          </reference>
        </references>
      </pivotArea>
    </format>
    <format dxfId="132">
      <pivotArea collapsedLevelsAreSubtotals="1" fieldPosition="0">
        <references count="2">
          <reference field="1" count="1">
            <x v="25"/>
          </reference>
          <reference field="2" count="1" selected="0">
            <x v="0"/>
          </reference>
        </references>
      </pivotArea>
    </format>
    <format dxfId="131">
      <pivotArea collapsedLevelsAreSubtotals="1" fieldPosition="0">
        <references count="2">
          <reference field="1" count="1">
            <x v="26"/>
          </reference>
          <reference field="2" count="1" selected="0">
            <x v="0"/>
          </reference>
        </references>
      </pivotArea>
    </format>
    <format dxfId="130">
      <pivotArea collapsedLevelsAreSubtotals="1" fieldPosition="0">
        <references count="2">
          <reference field="1" count="1">
            <x v="27"/>
          </reference>
          <reference field="2" count="1" selected="0">
            <x v="0"/>
          </reference>
        </references>
      </pivotArea>
    </format>
    <format dxfId="129">
      <pivotArea collapsedLevelsAreSubtotals="1" fieldPosition="0">
        <references count="2">
          <reference field="1" count="1">
            <x v="28"/>
          </reference>
          <reference field="2" count="1" selected="0">
            <x v="0"/>
          </reference>
        </references>
      </pivotArea>
    </format>
    <format dxfId="128">
      <pivotArea collapsedLevelsAreSubtotals="1" fieldPosition="0">
        <references count="2">
          <reference field="1" count="1">
            <x v="29"/>
          </reference>
          <reference field="2" count="1" selected="0">
            <x v="0"/>
          </reference>
        </references>
      </pivotArea>
    </format>
    <format dxfId="127">
      <pivotArea collapsedLevelsAreSubtotals="1" fieldPosition="0">
        <references count="2">
          <reference field="1" count="1">
            <x v="30"/>
          </reference>
          <reference field="2" count="1" selected="0">
            <x v="0"/>
          </reference>
        </references>
      </pivotArea>
    </format>
    <format dxfId="126">
      <pivotArea collapsedLevelsAreSubtotals="1" fieldPosition="0">
        <references count="1">
          <reference field="2" count="1">
            <x v="9"/>
          </reference>
        </references>
      </pivotArea>
    </format>
    <format dxfId="125">
      <pivotArea collapsedLevelsAreSubtotals="1" fieldPosition="0">
        <references count="2">
          <reference field="1" count="1">
            <x v="271"/>
          </reference>
          <reference field="2" count="1" selected="0">
            <x v="9"/>
          </reference>
        </references>
      </pivotArea>
    </format>
    <format dxfId="124">
      <pivotArea collapsedLevelsAreSubtotals="1" fieldPosition="0">
        <references count="2">
          <reference field="1" count="1">
            <x v="272"/>
          </reference>
          <reference field="2" count="1" selected="0">
            <x v="9"/>
          </reference>
        </references>
      </pivotArea>
    </format>
    <format dxfId="123">
      <pivotArea collapsedLevelsAreSubtotals="1" fieldPosition="0">
        <references count="2">
          <reference field="1" count="1">
            <x v="273"/>
          </reference>
          <reference field="2" count="1" selected="0">
            <x v="9"/>
          </reference>
        </references>
      </pivotArea>
    </format>
    <format dxfId="122">
      <pivotArea collapsedLevelsAreSubtotals="1" fieldPosition="0">
        <references count="2">
          <reference field="1" count="1">
            <x v="274"/>
          </reference>
          <reference field="2" count="1" selected="0">
            <x v="9"/>
          </reference>
        </references>
      </pivotArea>
    </format>
    <format dxfId="121">
      <pivotArea collapsedLevelsAreSubtotals="1" fieldPosition="0">
        <references count="2">
          <reference field="1" count="1">
            <x v="275"/>
          </reference>
          <reference field="2" count="1" selected="0">
            <x v="9"/>
          </reference>
        </references>
      </pivotArea>
    </format>
    <format dxfId="120">
      <pivotArea collapsedLevelsAreSubtotals="1" fieldPosition="0">
        <references count="2">
          <reference field="1" count="1">
            <x v="276"/>
          </reference>
          <reference field="2" count="1" selected="0">
            <x v="9"/>
          </reference>
        </references>
      </pivotArea>
    </format>
    <format dxfId="119">
      <pivotArea collapsedLevelsAreSubtotals="1" fieldPosition="0">
        <references count="2">
          <reference field="1" count="1">
            <x v="277"/>
          </reference>
          <reference field="2" count="1" selected="0">
            <x v="9"/>
          </reference>
        </references>
      </pivotArea>
    </format>
    <format dxfId="118">
      <pivotArea collapsedLevelsAreSubtotals="1" fieldPosition="0">
        <references count="2">
          <reference field="1" count="1">
            <x v="278"/>
          </reference>
          <reference field="2" count="1" selected="0">
            <x v="9"/>
          </reference>
        </references>
      </pivotArea>
    </format>
    <format dxfId="117">
      <pivotArea collapsedLevelsAreSubtotals="1" fieldPosition="0">
        <references count="2">
          <reference field="1" count="1">
            <x v="279"/>
          </reference>
          <reference field="2" count="1" selected="0">
            <x v="9"/>
          </reference>
        </references>
      </pivotArea>
    </format>
    <format dxfId="116">
      <pivotArea collapsedLevelsAreSubtotals="1" fieldPosition="0">
        <references count="2">
          <reference field="1" count="1">
            <x v="280"/>
          </reference>
          <reference field="2" count="1" selected="0">
            <x v="9"/>
          </reference>
        </references>
      </pivotArea>
    </format>
    <format dxfId="115">
      <pivotArea collapsedLevelsAreSubtotals="1" fieldPosition="0">
        <references count="2">
          <reference field="1" count="1">
            <x v="281"/>
          </reference>
          <reference field="2" count="1" selected="0">
            <x v="9"/>
          </reference>
        </references>
      </pivotArea>
    </format>
    <format dxfId="114">
      <pivotArea collapsedLevelsAreSubtotals="1" fieldPosition="0">
        <references count="2">
          <reference field="1" count="1">
            <x v="282"/>
          </reference>
          <reference field="2" count="1" selected="0">
            <x v="9"/>
          </reference>
        </references>
      </pivotArea>
    </format>
    <format dxfId="113">
      <pivotArea collapsedLevelsAreSubtotals="1" fieldPosition="0">
        <references count="2">
          <reference field="1" count="1">
            <x v="283"/>
          </reference>
          <reference field="2" count="1" selected="0">
            <x v="9"/>
          </reference>
        </references>
      </pivotArea>
    </format>
    <format dxfId="112">
      <pivotArea collapsedLevelsAreSubtotals="1" fieldPosition="0">
        <references count="2">
          <reference field="1" count="1">
            <x v="284"/>
          </reference>
          <reference field="2" count="1" selected="0">
            <x v="9"/>
          </reference>
        </references>
      </pivotArea>
    </format>
    <format dxfId="111">
      <pivotArea collapsedLevelsAreSubtotals="1" fieldPosition="0">
        <references count="2">
          <reference field="1" count="1">
            <x v="285"/>
          </reference>
          <reference field="2" count="1" selected="0">
            <x v="9"/>
          </reference>
        </references>
      </pivotArea>
    </format>
    <format dxfId="110">
      <pivotArea collapsedLevelsAreSubtotals="1" fieldPosition="0">
        <references count="2">
          <reference field="1" count="1">
            <x v="286"/>
          </reference>
          <reference field="2" count="1" selected="0">
            <x v="9"/>
          </reference>
        </references>
      </pivotArea>
    </format>
    <format dxfId="109">
      <pivotArea collapsedLevelsAreSubtotals="1" fieldPosition="0">
        <references count="2">
          <reference field="1" count="1">
            <x v="287"/>
          </reference>
          <reference field="2" count="1" selected="0">
            <x v="9"/>
          </reference>
        </references>
      </pivotArea>
    </format>
    <format dxfId="108">
      <pivotArea collapsedLevelsAreSubtotals="1" fieldPosition="0">
        <references count="2">
          <reference field="1" count="1">
            <x v="288"/>
          </reference>
          <reference field="2" count="1" selected="0">
            <x v="9"/>
          </reference>
        </references>
      </pivotArea>
    </format>
    <format dxfId="107">
      <pivotArea collapsedLevelsAreSubtotals="1" fieldPosition="0">
        <references count="2">
          <reference field="1" count="1">
            <x v="289"/>
          </reference>
          <reference field="2" count="1" selected="0">
            <x v="9"/>
          </reference>
        </references>
      </pivotArea>
    </format>
    <format dxfId="106">
      <pivotArea collapsedLevelsAreSubtotals="1" fieldPosition="0">
        <references count="2">
          <reference field="1" count="1">
            <x v="290"/>
          </reference>
          <reference field="2" count="1" selected="0">
            <x v="9"/>
          </reference>
        </references>
      </pivotArea>
    </format>
    <format dxfId="105">
      <pivotArea collapsedLevelsAreSubtotals="1" fieldPosition="0">
        <references count="2">
          <reference field="1" count="1">
            <x v="291"/>
          </reference>
          <reference field="2" count="1" selected="0">
            <x v="9"/>
          </reference>
        </references>
      </pivotArea>
    </format>
    <format dxfId="104">
      <pivotArea collapsedLevelsAreSubtotals="1" fieldPosition="0">
        <references count="2">
          <reference field="1" count="1">
            <x v="303"/>
          </reference>
          <reference field="2" count="1" selected="0">
            <x v="9"/>
          </reference>
        </references>
      </pivotArea>
    </format>
    <format dxfId="103">
      <pivotArea collapsedLevelsAreSubtotals="1" fieldPosition="0">
        <references count="2">
          <reference field="1" count="1">
            <x v="292"/>
          </reference>
          <reference field="2" count="1" selected="0">
            <x v="9"/>
          </reference>
        </references>
      </pivotArea>
    </format>
    <format dxfId="102">
      <pivotArea collapsedLevelsAreSubtotals="1" fieldPosition="0">
        <references count="2">
          <reference field="1" count="1">
            <x v="293"/>
          </reference>
          <reference field="2" count="1" selected="0">
            <x v="9"/>
          </reference>
        </references>
      </pivotArea>
    </format>
    <format dxfId="101">
      <pivotArea collapsedLevelsAreSubtotals="1" fieldPosition="0">
        <references count="2">
          <reference field="1" count="1">
            <x v="294"/>
          </reference>
          <reference field="2" count="1" selected="0">
            <x v="9"/>
          </reference>
        </references>
      </pivotArea>
    </format>
    <format dxfId="100">
      <pivotArea collapsedLevelsAreSubtotals="1" fieldPosition="0">
        <references count="2">
          <reference field="1" count="1">
            <x v="295"/>
          </reference>
          <reference field="2" count="1" selected="0">
            <x v="9"/>
          </reference>
        </references>
      </pivotArea>
    </format>
    <format dxfId="99">
      <pivotArea collapsedLevelsAreSubtotals="1" fieldPosition="0">
        <references count="2">
          <reference field="1" count="1">
            <x v="296"/>
          </reference>
          <reference field="2" count="1" selected="0">
            <x v="9"/>
          </reference>
        </references>
      </pivotArea>
    </format>
    <format dxfId="98">
      <pivotArea collapsedLevelsAreSubtotals="1" fieldPosition="0">
        <references count="2">
          <reference field="1" count="1">
            <x v="297"/>
          </reference>
          <reference field="2" count="1" selected="0">
            <x v="9"/>
          </reference>
        </references>
      </pivotArea>
    </format>
    <format dxfId="97">
      <pivotArea collapsedLevelsAreSubtotals="1" fieldPosition="0">
        <references count="2">
          <reference field="1" count="1">
            <x v="298"/>
          </reference>
          <reference field="2" count="1" selected="0">
            <x v="9"/>
          </reference>
        </references>
      </pivotArea>
    </format>
    <format dxfId="96">
      <pivotArea collapsedLevelsAreSubtotals="1" fieldPosition="0">
        <references count="2">
          <reference field="1" count="1">
            <x v="299"/>
          </reference>
          <reference field="2" count="1" selected="0">
            <x v="9"/>
          </reference>
        </references>
      </pivotArea>
    </format>
    <format dxfId="95">
      <pivotArea collapsedLevelsAreSubtotals="1" fieldPosition="0">
        <references count="1">
          <reference field="2" count="1">
            <x v="1"/>
          </reference>
        </references>
      </pivotArea>
    </format>
    <format dxfId="94">
      <pivotArea collapsedLevelsAreSubtotals="1" fieldPosition="0">
        <references count="2">
          <reference field="1" count="1">
            <x v="31"/>
          </reference>
          <reference field="2" count="1" selected="0">
            <x v="1"/>
          </reference>
        </references>
      </pivotArea>
    </format>
    <format dxfId="93">
      <pivotArea collapsedLevelsAreSubtotals="1" fieldPosition="0">
        <references count="2">
          <reference field="1" count="1">
            <x v="32"/>
          </reference>
          <reference field="2" count="1" selected="0">
            <x v="1"/>
          </reference>
        </references>
      </pivotArea>
    </format>
    <format dxfId="92">
      <pivotArea collapsedLevelsAreSubtotals="1" fieldPosition="0">
        <references count="2">
          <reference field="1" count="1">
            <x v="33"/>
          </reference>
          <reference field="2" count="1" selected="0">
            <x v="1"/>
          </reference>
        </references>
      </pivotArea>
    </format>
    <format dxfId="91">
      <pivotArea collapsedLevelsAreSubtotals="1" fieldPosition="0">
        <references count="2">
          <reference field="1" count="1">
            <x v="34"/>
          </reference>
          <reference field="2" count="1" selected="0">
            <x v="1"/>
          </reference>
        </references>
      </pivotArea>
    </format>
    <format dxfId="90">
      <pivotArea collapsedLevelsAreSubtotals="1" fieldPosition="0">
        <references count="2">
          <reference field="1" count="1">
            <x v="35"/>
          </reference>
          <reference field="2" count="1" selected="0">
            <x v="1"/>
          </reference>
        </references>
      </pivotArea>
    </format>
    <format dxfId="89">
      <pivotArea collapsedLevelsAreSubtotals="1" fieldPosition="0">
        <references count="2">
          <reference field="1" count="1">
            <x v="36"/>
          </reference>
          <reference field="2" count="1" selected="0">
            <x v="1"/>
          </reference>
        </references>
      </pivotArea>
    </format>
    <format dxfId="88">
      <pivotArea collapsedLevelsAreSubtotals="1" fieldPosition="0">
        <references count="2">
          <reference field="1" count="1">
            <x v="37"/>
          </reference>
          <reference field="2" count="1" selected="0">
            <x v="1"/>
          </reference>
        </references>
      </pivotArea>
    </format>
    <format dxfId="87">
      <pivotArea collapsedLevelsAreSubtotals="1" fieldPosition="0">
        <references count="2">
          <reference field="1" count="1">
            <x v="38"/>
          </reference>
          <reference field="2" count="1" selected="0">
            <x v="1"/>
          </reference>
        </references>
      </pivotArea>
    </format>
    <format dxfId="86">
      <pivotArea collapsedLevelsAreSubtotals="1" fieldPosition="0">
        <references count="2">
          <reference field="1" count="1">
            <x v="39"/>
          </reference>
          <reference field="2" count="1" selected="0">
            <x v="1"/>
          </reference>
        </references>
      </pivotArea>
    </format>
    <format dxfId="85">
      <pivotArea collapsedLevelsAreSubtotals="1" fieldPosition="0">
        <references count="2">
          <reference field="1" count="1">
            <x v="40"/>
          </reference>
          <reference field="2" count="1" selected="0">
            <x v="1"/>
          </reference>
        </references>
      </pivotArea>
    </format>
    <format dxfId="84">
      <pivotArea collapsedLevelsAreSubtotals="1" fieldPosition="0">
        <references count="2">
          <reference field="1" count="1">
            <x v="41"/>
          </reference>
          <reference field="2" count="1" selected="0">
            <x v="1"/>
          </reference>
        </references>
      </pivotArea>
    </format>
    <format dxfId="83">
      <pivotArea collapsedLevelsAreSubtotals="1" fieldPosition="0">
        <references count="2">
          <reference field="1" count="1">
            <x v="42"/>
          </reference>
          <reference field="2" count="1" selected="0">
            <x v="1"/>
          </reference>
        </references>
      </pivotArea>
    </format>
    <format dxfId="82">
      <pivotArea collapsedLevelsAreSubtotals="1" fieldPosition="0">
        <references count="2">
          <reference field="1" count="1">
            <x v="43"/>
          </reference>
          <reference field="2" count="1" selected="0">
            <x v="1"/>
          </reference>
        </references>
      </pivotArea>
    </format>
    <format dxfId="81">
      <pivotArea collapsedLevelsAreSubtotals="1" fieldPosition="0">
        <references count="2">
          <reference field="1" count="1">
            <x v="44"/>
          </reference>
          <reference field="2" count="1" selected="0">
            <x v="1"/>
          </reference>
        </references>
      </pivotArea>
    </format>
    <format dxfId="80">
      <pivotArea collapsedLevelsAreSubtotals="1" fieldPosition="0">
        <references count="2">
          <reference field="1" count="1">
            <x v="45"/>
          </reference>
          <reference field="2" count="1" selected="0">
            <x v="1"/>
          </reference>
        </references>
      </pivotArea>
    </format>
    <format dxfId="79">
      <pivotArea collapsedLevelsAreSubtotals="1" fieldPosition="0">
        <references count="2">
          <reference field="1" count="1">
            <x v="46"/>
          </reference>
          <reference field="2" count="1" selected="0">
            <x v="1"/>
          </reference>
        </references>
      </pivotArea>
    </format>
    <format dxfId="78">
      <pivotArea collapsedLevelsAreSubtotals="1" fieldPosition="0">
        <references count="2">
          <reference field="1" count="1">
            <x v="47"/>
          </reference>
          <reference field="2" count="1" selected="0">
            <x v="1"/>
          </reference>
        </references>
      </pivotArea>
    </format>
    <format dxfId="77">
      <pivotArea collapsedLevelsAreSubtotals="1" fieldPosition="0">
        <references count="2">
          <reference field="1" count="1">
            <x v="48"/>
          </reference>
          <reference field="2" count="1" selected="0">
            <x v="1"/>
          </reference>
        </references>
      </pivotArea>
    </format>
    <format dxfId="76">
      <pivotArea collapsedLevelsAreSubtotals="1" fieldPosition="0">
        <references count="2">
          <reference field="1" count="1">
            <x v="49"/>
          </reference>
          <reference field="2" count="1" selected="0">
            <x v="1"/>
          </reference>
        </references>
      </pivotArea>
    </format>
    <format dxfId="75">
      <pivotArea collapsedLevelsAreSubtotals="1" fieldPosition="0">
        <references count="2">
          <reference field="1" count="1">
            <x v="50"/>
          </reference>
          <reference field="2" count="1" selected="0">
            <x v="1"/>
          </reference>
        </references>
      </pivotArea>
    </format>
    <format dxfId="74">
      <pivotArea collapsedLevelsAreSubtotals="1" fieldPosition="0">
        <references count="2">
          <reference field="1" count="1">
            <x v="51"/>
          </reference>
          <reference field="2" count="1" selected="0">
            <x v="1"/>
          </reference>
        </references>
      </pivotArea>
    </format>
    <format dxfId="73">
      <pivotArea collapsedLevelsAreSubtotals="1" fieldPosition="0">
        <references count="2">
          <reference field="1" count="1">
            <x v="52"/>
          </reference>
          <reference field="2" count="1" selected="0">
            <x v="1"/>
          </reference>
        </references>
      </pivotArea>
    </format>
    <format dxfId="72">
      <pivotArea collapsedLevelsAreSubtotals="1" fieldPosition="0">
        <references count="2">
          <reference field="1" count="1">
            <x v="53"/>
          </reference>
          <reference field="2" count="1" selected="0">
            <x v="1"/>
          </reference>
        </references>
      </pivotArea>
    </format>
    <format dxfId="71">
      <pivotArea collapsedLevelsAreSubtotals="1" fieldPosition="0">
        <references count="2">
          <reference field="1" count="1">
            <x v="54"/>
          </reference>
          <reference field="2" count="1" selected="0">
            <x v="1"/>
          </reference>
        </references>
      </pivotArea>
    </format>
    <format dxfId="70">
      <pivotArea collapsedLevelsAreSubtotals="1" fieldPosition="0">
        <references count="2">
          <reference field="1" count="1">
            <x v="55"/>
          </reference>
          <reference field="2" count="1" selected="0">
            <x v="1"/>
          </reference>
        </references>
      </pivotArea>
    </format>
    <format dxfId="69">
      <pivotArea collapsedLevelsAreSubtotals="1" fieldPosition="0">
        <references count="2">
          <reference field="1" count="1">
            <x v="56"/>
          </reference>
          <reference field="2" count="1" selected="0">
            <x v="1"/>
          </reference>
        </references>
      </pivotArea>
    </format>
    <format dxfId="68">
      <pivotArea collapsedLevelsAreSubtotals="1" fieldPosition="0">
        <references count="2">
          <reference field="1" count="1">
            <x v="57"/>
          </reference>
          <reference field="2" count="1" selected="0">
            <x v="1"/>
          </reference>
        </references>
      </pivotArea>
    </format>
    <format dxfId="67">
      <pivotArea collapsedLevelsAreSubtotals="1" fieldPosition="0">
        <references count="2">
          <reference field="1" count="1">
            <x v="58"/>
          </reference>
          <reference field="2" count="1" selected="0">
            <x v="1"/>
          </reference>
        </references>
      </pivotArea>
    </format>
    <format dxfId="66">
      <pivotArea collapsedLevelsAreSubtotals="1" fieldPosition="0">
        <references count="2">
          <reference field="1" count="1">
            <x v="59"/>
          </reference>
          <reference field="2" count="1" selected="0">
            <x v="1"/>
          </reference>
        </references>
      </pivotArea>
    </format>
    <format dxfId="65">
      <pivotArea collapsedLevelsAreSubtotals="1" fieldPosition="0">
        <references count="2">
          <reference field="1" count="1">
            <x v="60"/>
          </reference>
          <reference field="2" count="1" selected="0">
            <x v="1"/>
          </reference>
        </references>
      </pivotArea>
    </format>
    <format dxfId="64">
      <pivotArea collapsedLevelsAreSubtotals="1" fieldPosition="0">
        <references count="2">
          <reference field="1" count="1">
            <x v="61"/>
          </reference>
          <reference field="2" count="1" selected="0">
            <x v="1"/>
          </reference>
        </references>
      </pivotArea>
    </format>
    <format dxfId="63">
      <pivotArea collapsedLevelsAreSubtotals="1" fieldPosition="0">
        <references count="1">
          <reference field="2" count="1">
            <x v="10"/>
          </reference>
        </references>
      </pivotArea>
    </format>
    <format dxfId="62">
      <pivotArea collapsedLevelsAreSubtotals="1" fieldPosition="0">
        <references count="2">
          <reference field="1" count="1">
            <x v="304"/>
          </reference>
          <reference field="2" count="1" selected="0">
            <x v="10"/>
          </reference>
        </references>
      </pivotArea>
    </format>
    <format dxfId="61">
      <pivotArea collapsedLevelsAreSubtotals="1" fieldPosition="0">
        <references count="2">
          <reference field="1" count="1">
            <x v="305"/>
          </reference>
          <reference field="2" count="1" selected="0">
            <x v="10"/>
          </reference>
        </references>
      </pivotArea>
    </format>
    <format dxfId="60">
      <pivotArea collapsedLevelsAreSubtotals="1" fieldPosition="0">
        <references count="2">
          <reference field="1" count="1">
            <x v="306"/>
          </reference>
          <reference field="2" count="1" selected="0">
            <x v="10"/>
          </reference>
        </references>
      </pivotArea>
    </format>
    <format dxfId="59">
      <pivotArea collapsedLevelsAreSubtotals="1" fieldPosition="0">
        <references count="2">
          <reference field="1" count="1">
            <x v="307"/>
          </reference>
          <reference field="2" count="1" selected="0">
            <x v="10"/>
          </reference>
        </references>
      </pivotArea>
    </format>
    <format dxfId="58">
      <pivotArea collapsedLevelsAreSubtotals="1" fieldPosition="0">
        <references count="2">
          <reference field="1" count="1">
            <x v="308"/>
          </reference>
          <reference field="2" count="1" selected="0">
            <x v="10"/>
          </reference>
        </references>
      </pivotArea>
    </format>
    <format dxfId="57">
      <pivotArea collapsedLevelsAreSubtotals="1" fieldPosition="0">
        <references count="2">
          <reference field="1" count="1">
            <x v="309"/>
          </reference>
          <reference field="2" count="1" selected="0">
            <x v="10"/>
          </reference>
        </references>
      </pivotArea>
    </format>
    <format dxfId="56">
      <pivotArea collapsedLevelsAreSubtotals="1" fieldPosition="0">
        <references count="2">
          <reference field="1" count="1">
            <x v="310"/>
          </reference>
          <reference field="2" count="1" selected="0">
            <x v="10"/>
          </reference>
        </references>
      </pivotArea>
    </format>
    <format dxfId="55">
      <pivotArea collapsedLevelsAreSubtotals="1" fieldPosition="0">
        <references count="2">
          <reference field="1" count="1">
            <x v="311"/>
          </reference>
          <reference field="2" count="1" selected="0">
            <x v="10"/>
          </reference>
        </references>
      </pivotArea>
    </format>
    <format dxfId="54">
      <pivotArea collapsedLevelsAreSubtotals="1" fieldPosition="0">
        <references count="2">
          <reference field="1" count="1">
            <x v="312"/>
          </reference>
          <reference field="2" count="1" selected="0">
            <x v="10"/>
          </reference>
        </references>
      </pivotArea>
    </format>
    <format dxfId="53">
      <pivotArea collapsedLevelsAreSubtotals="1" fieldPosition="0">
        <references count="2">
          <reference field="1" count="1">
            <x v="313"/>
          </reference>
          <reference field="2" count="1" selected="0">
            <x v="10"/>
          </reference>
        </references>
      </pivotArea>
    </format>
    <format dxfId="52">
      <pivotArea collapsedLevelsAreSubtotals="1" fieldPosition="0">
        <references count="2">
          <reference field="1" count="1">
            <x v="314"/>
          </reference>
          <reference field="2" count="1" selected="0">
            <x v="10"/>
          </reference>
        </references>
      </pivotArea>
    </format>
    <format dxfId="51">
      <pivotArea collapsedLevelsAreSubtotals="1" fieldPosition="0">
        <references count="2">
          <reference field="1" count="1">
            <x v="315"/>
          </reference>
          <reference field="2" count="1" selected="0">
            <x v="10"/>
          </reference>
        </references>
      </pivotArea>
    </format>
    <format dxfId="50">
      <pivotArea collapsedLevelsAreSubtotals="1" fieldPosition="0">
        <references count="2">
          <reference field="1" count="1">
            <x v="316"/>
          </reference>
          <reference field="2" count="1" selected="0">
            <x v="10"/>
          </reference>
        </references>
      </pivotArea>
    </format>
    <format dxfId="49">
      <pivotArea collapsedLevelsAreSubtotals="1" fieldPosition="0">
        <references count="2">
          <reference field="1" count="1">
            <x v="317"/>
          </reference>
          <reference field="2" count="1" selected="0">
            <x v="10"/>
          </reference>
        </references>
      </pivotArea>
    </format>
    <format dxfId="48">
      <pivotArea collapsedLevelsAreSubtotals="1" fieldPosition="0">
        <references count="2">
          <reference field="1" count="1">
            <x v="318"/>
          </reference>
          <reference field="2" count="1" selected="0">
            <x v="10"/>
          </reference>
        </references>
      </pivotArea>
    </format>
    <format dxfId="47">
      <pivotArea collapsedLevelsAreSubtotals="1" fieldPosition="0">
        <references count="2">
          <reference field="1" count="1">
            <x v="319"/>
          </reference>
          <reference field="2" count="1" selected="0">
            <x v="10"/>
          </reference>
        </references>
      </pivotArea>
    </format>
    <format dxfId="46">
      <pivotArea collapsedLevelsAreSubtotals="1" fieldPosition="0">
        <references count="2">
          <reference field="1" count="1">
            <x v="320"/>
          </reference>
          <reference field="2" count="1" selected="0">
            <x v="10"/>
          </reference>
        </references>
      </pivotArea>
    </format>
    <format dxfId="45">
      <pivotArea collapsedLevelsAreSubtotals="1" fieldPosition="0">
        <references count="2">
          <reference field="1" count="1">
            <x v="321"/>
          </reference>
          <reference field="2" count="1" selected="0">
            <x v="10"/>
          </reference>
        </references>
      </pivotArea>
    </format>
    <format dxfId="44">
      <pivotArea collapsedLevelsAreSubtotals="1" fieldPosition="0">
        <references count="2">
          <reference field="1" count="1">
            <x v="322"/>
          </reference>
          <reference field="2" count="1" selected="0">
            <x v="10"/>
          </reference>
        </references>
      </pivotArea>
    </format>
    <format dxfId="43">
      <pivotArea collapsedLevelsAreSubtotals="1" fieldPosition="0">
        <references count="2">
          <reference field="1" count="1">
            <x v="323"/>
          </reference>
          <reference field="2" count="1" selected="0">
            <x v="10"/>
          </reference>
        </references>
      </pivotArea>
    </format>
    <format dxfId="42">
      <pivotArea collapsedLevelsAreSubtotals="1" fieldPosition="0">
        <references count="2">
          <reference field="1" count="1">
            <x v="324"/>
          </reference>
          <reference field="2" count="1" selected="0">
            <x v="10"/>
          </reference>
        </references>
      </pivotArea>
    </format>
    <format dxfId="41">
      <pivotArea collapsedLevelsAreSubtotals="1" fieldPosition="0">
        <references count="2">
          <reference field="1" count="1">
            <x v="325"/>
          </reference>
          <reference field="2" count="1" selected="0">
            <x v="10"/>
          </reference>
        </references>
      </pivotArea>
    </format>
    <format dxfId="40">
      <pivotArea collapsedLevelsAreSubtotals="1" fieldPosition="0">
        <references count="2">
          <reference field="1" count="1">
            <x v="326"/>
          </reference>
          <reference field="2" count="1" selected="0">
            <x v="10"/>
          </reference>
        </references>
      </pivotArea>
    </format>
    <format dxfId="39">
      <pivotArea collapsedLevelsAreSubtotals="1" fieldPosition="0">
        <references count="2">
          <reference field="1" count="1">
            <x v="327"/>
          </reference>
          <reference field="2" count="1" selected="0">
            <x v="10"/>
          </reference>
        </references>
      </pivotArea>
    </format>
    <format dxfId="38">
      <pivotArea collapsedLevelsAreSubtotals="1" fieldPosition="0">
        <references count="2">
          <reference field="1" count="1">
            <x v="328"/>
          </reference>
          <reference field="2" count="1" selected="0">
            <x v="10"/>
          </reference>
        </references>
      </pivotArea>
    </format>
    <format dxfId="37">
      <pivotArea collapsedLevelsAreSubtotals="1" fieldPosition="0">
        <references count="2">
          <reference field="1" count="1">
            <x v="329"/>
          </reference>
          <reference field="2" count="1" selected="0">
            <x v="10"/>
          </reference>
        </references>
      </pivotArea>
    </format>
    <format dxfId="36">
      <pivotArea collapsedLevelsAreSubtotals="1" fieldPosition="0">
        <references count="2">
          <reference field="1" count="1">
            <x v="330"/>
          </reference>
          <reference field="2" count="1" selected="0">
            <x v="10"/>
          </reference>
        </references>
      </pivotArea>
    </format>
    <format dxfId="35">
      <pivotArea collapsedLevelsAreSubtotals="1" fieldPosition="0">
        <references count="2">
          <reference field="1" count="1">
            <x v="331"/>
          </reference>
          <reference field="2" count="1" selected="0">
            <x v="10"/>
          </reference>
        </references>
      </pivotArea>
    </format>
    <format dxfId="34">
      <pivotArea collapsedLevelsAreSubtotals="1" fieldPosition="0">
        <references count="2">
          <reference field="1" count="1">
            <x v="332"/>
          </reference>
          <reference field="2" count="1" selected="0">
            <x v="10"/>
          </reference>
        </references>
      </pivotArea>
    </format>
    <format dxfId="33">
      <pivotArea collapsedLevelsAreSubtotals="1" fieldPosition="0">
        <references count="2">
          <reference field="1" count="1">
            <x v="333"/>
          </reference>
          <reference field="2" count="1" selected="0">
            <x v="10"/>
          </reference>
        </references>
      </pivotArea>
    </format>
    <format dxfId="32">
      <pivotArea collapsedLevelsAreSubtotals="1" fieldPosition="0">
        <references count="1">
          <reference field="2" count="1">
            <x v="11"/>
          </reference>
        </references>
      </pivotArea>
    </format>
    <format dxfId="31">
      <pivotArea collapsedLevelsAreSubtotals="1" fieldPosition="0">
        <references count="2">
          <reference field="1" count="1">
            <x v="334"/>
          </reference>
          <reference field="2" count="1" selected="0">
            <x v="11"/>
          </reference>
        </references>
      </pivotArea>
    </format>
    <format dxfId="30">
      <pivotArea collapsedLevelsAreSubtotals="1" fieldPosition="0">
        <references count="2">
          <reference field="1" count="1">
            <x v="335"/>
          </reference>
          <reference field="2" count="1" selected="0">
            <x v="11"/>
          </reference>
        </references>
      </pivotArea>
    </format>
    <format dxfId="29">
      <pivotArea collapsedLevelsAreSubtotals="1" fieldPosition="0">
        <references count="2">
          <reference field="1" count="1">
            <x v="336"/>
          </reference>
          <reference field="2" count="1" selected="0">
            <x v="11"/>
          </reference>
        </references>
      </pivotArea>
    </format>
    <format dxfId="28">
      <pivotArea collapsedLevelsAreSubtotals="1" fieldPosition="0">
        <references count="2">
          <reference field="1" count="1">
            <x v="337"/>
          </reference>
          <reference field="2" count="1" selected="0">
            <x v="11"/>
          </reference>
        </references>
      </pivotArea>
    </format>
    <format dxfId="27">
      <pivotArea collapsedLevelsAreSubtotals="1" fieldPosition="0">
        <references count="2">
          <reference field="1" count="1">
            <x v="338"/>
          </reference>
          <reference field="2" count="1" selected="0">
            <x v="11"/>
          </reference>
        </references>
      </pivotArea>
    </format>
    <format dxfId="26">
      <pivotArea collapsedLevelsAreSubtotals="1" fieldPosition="0">
        <references count="2">
          <reference field="1" count="1">
            <x v="339"/>
          </reference>
          <reference field="2" count="1" selected="0">
            <x v="11"/>
          </reference>
        </references>
      </pivotArea>
    </format>
    <format dxfId="25">
      <pivotArea collapsedLevelsAreSubtotals="1" fieldPosition="0">
        <references count="2">
          <reference field="1" count="1">
            <x v="340"/>
          </reference>
          <reference field="2" count="1" selected="0">
            <x v="11"/>
          </reference>
        </references>
      </pivotArea>
    </format>
    <format dxfId="24">
      <pivotArea collapsedLevelsAreSubtotals="1" fieldPosition="0">
        <references count="2">
          <reference field="1" count="1">
            <x v="341"/>
          </reference>
          <reference field="2" count="1" selected="0">
            <x v="11"/>
          </reference>
        </references>
      </pivotArea>
    </format>
    <format dxfId="23">
      <pivotArea collapsedLevelsAreSubtotals="1" fieldPosition="0">
        <references count="2">
          <reference field="1" count="1">
            <x v="342"/>
          </reference>
          <reference field="2" count="1" selected="0">
            <x v="11"/>
          </reference>
        </references>
      </pivotArea>
    </format>
    <format dxfId="22">
      <pivotArea collapsedLevelsAreSubtotals="1" fieldPosition="0">
        <references count="2">
          <reference field="1" count="1">
            <x v="343"/>
          </reference>
          <reference field="2" count="1" selected="0">
            <x v="11"/>
          </reference>
        </references>
      </pivotArea>
    </format>
    <format dxfId="21">
      <pivotArea collapsedLevelsAreSubtotals="1" fieldPosition="0">
        <references count="2">
          <reference field="1" count="1">
            <x v="344"/>
          </reference>
          <reference field="2" count="1" selected="0">
            <x v="11"/>
          </reference>
        </references>
      </pivotArea>
    </format>
    <format dxfId="20">
      <pivotArea collapsedLevelsAreSubtotals="1" fieldPosition="0">
        <references count="2">
          <reference field="1" count="1">
            <x v="345"/>
          </reference>
          <reference field="2" count="1" selected="0">
            <x v="11"/>
          </reference>
        </references>
      </pivotArea>
    </format>
    <format dxfId="19">
      <pivotArea collapsedLevelsAreSubtotals="1" fieldPosition="0">
        <references count="2">
          <reference field="1" count="1">
            <x v="346"/>
          </reference>
          <reference field="2" count="1" selected="0">
            <x v="11"/>
          </reference>
        </references>
      </pivotArea>
    </format>
    <format dxfId="18">
      <pivotArea collapsedLevelsAreSubtotals="1" fieldPosition="0">
        <references count="2">
          <reference field="1" count="1">
            <x v="347"/>
          </reference>
          <reference field="2" count="1" selected="0">
            <x v="11"/>
          </reference>
        </references>
      </pivotArea>
    </format>
    <format dxfId="17">
      <pivotArea collapsedLevelsAreSubtotals="1" fieldPosition="0">
        <references count="2">
          <reference field="1" count="1">
            <x v="348"/>
          </reference>
          <reference field="2" count="1" selected="0">
            <x v="11"/>
          </reference>
        </references>
      </pivotArea>
    </format>
    <format dxfId="16">
      <pivotArea collapsedLevelsAreSubtotals="1" fieldPosition="0">
        <references count="2">
          <reference field="1" count="1">
            <x v="349"/>
          </reference>
          <reference field="2" count="1" selected="0">
            <x v="11"/>
          </reference>
        </references>
      </pivotArea>
    </format>
    <format dxfId="15">
      <pivotArea collapsedLevelsAreSubtotals="1" fieldPosition="0">
        <references count="2">
          <reference field="1" count="1">
            <x v="350"/>
          </reference>
          <reference field="2" count="1" selected="0">
            <x v="11"/>
          </reference>
        </references>
      </pivotArea>
    </format>
    <format dxfId="14">
      <pivotArea collapsedLevelsAreSubtotals="1" fieldPosition="0">
        <references count="2">
          <reference field="1" count="1">
            <x v="351"/>
          </reference>
          <reference field="2" count="1" selected="0">
            <x v="11"/>
          </reference>
        </references>
      </pivotArea>
    </format>
    <format dxfId="13">
      <pivotArea collapsedLevelsAreSubtotals="1" fieldPosition="0">
        <references count="2">
          <reference field="1" count="1">
            <x v="352"/>
          </reference>
          <reference field="2" count="1" selected="0">
            <x v="11"/>
          </reference>
        </references>
      </pivotArea>
    </format>
    <format dxfId="12">
      <pivotArea collapsedLevelsAreSubtotals="1" fieldPosition="0">
        <references count="2">
          <reference field="1" count="1">
            <x v="353"/>
          </reference>
          <reference field="2" count="1" selected="0">
            <x v="11"/>
          </reference>
        </references>
      </pivotArea>
    </format>
    <format dxfId="11">
      <pivotArea collapsedLevelsAreSubtotals="1" fieldPosition="0">
        <references count="2">
          <reference field="1" count="1">
            <x v="354"/>
          </reference>
          <reference field="2" count="1" selected="0">
            <x v="11"/>
          </reference>
        </references>
      </pivotArea>
    </format>
    <format dxfId="10">
      <pivotArea collapsedLevelsAreSubtotals="1" fieldPosition="0">
        <references count="2">
          <reference field="1" count="1">
            <x v="355"/>
          </reference>
          <reference field="2" count="1" selected="0">
            <x v="11"/>
          </reference>
        </references>
      </pivotArea>
    </format>
    <format dxfId="9">
      <pivotArea collapsedLevelsAreSubtotals="1" fieldPosition="0">
        <references count="2">
          <reference field="1" count="1">
            <x v="356"/>
          </reference>
          <reference field="2" count="1" selected="0">
            <x v="11"/>
          </reference>
        </references>
      </pivotArea>
    </format>
    <format dxfId="8">
      <pivotArea collapsedLevelsAreSubtotals="1" fieldPosition="0">
        <references count="2">
          <reference field="1" count="1">
            <x v="357"/>
          </reference>
          <reference field="2" count="1" selected="0">
            <x v="11"/>
          </reference>
        </references>
      </pivotArea>
    </format>
    <format dxfId="7">
      <pivotArea collapsedLevelsAreSubtotals="1" fieldPosition="0">
        <references count="2">
          <reference field="1" count="1">
            <x v="358"/>
          </reference>
          <reference field="2" count="1" selected="0">
            <x v="11"/>
          </reference>
        </references>
      </pivotArea>
    </format>
    <format dxfId="6">
      <pivotArea collapsedLevelsAreSubtotals="1" fieldPosition="0">
        <references count="2">
          <reference field="1" count="1">
            <x v="359"/>
          </reference>
          <reference field="2" count="1" selected="0">
            <x v="11"/>
          </reference>
        </references>
      </pivotArea>
    </format>
    <format dxfId="5">
      <pivotArea collapsedLevelsAreSubtotals="1" fieldPosition="0">
        <references count="2">
          <reference field="1" count="1">
            <x v="360"/>
          </reference>
          <reference field="2" count="1" selected="0">
            <x v="11"/>
          </reference>
        </references>
      </pivotArea>
    </format>
    <format dxfId="4">
      <pivotArea collapsedLevelsAreSubtotals="1" fieldPosition="0">
        <references count="2">
          <reference field="1" count="1">
            <x v="361"/>
          </reference>
          <reference field="2" count="1" selected="0">
            <x v="11"/>
          </reference>
        </references>
      </pivotArea>
    </format>
    <format dxfId="3">
      <pivotArea collapsedLevelsAreSubtotals="1" fieldPosition="0">
        <references count="2">
          <reference field="1" count="1">
            <x v="362"/>
          </reference>
          <reference field="2" count="1" selected="0">
            <x v="11"/>
          </reference>
        </references>
      </pivotArea>
    </format>
    <format dxfId="2">
      <pivotArea grandRow="1" outline="0" collapsedLevelsAreSubtotals="1" fieldPosition="0"/>
    </format>
  </formats>
  <chartFormats count="2">
    <chartFormat chart="13"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ies>
  <pivotTableStyleInfo name="PivotStyleLight16" showRowHeaders="1" showColHeaders="1" showRowStripes="0" showColStripes="0" showLastColumn="1"/>
  <rowHierarchiesUsage count="4">
    <rowHierarchyUsage hierarchyUsage="3"/>
    <rowHierarchyUsage hierarchyUsage="1"/>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278C199-B5B0-4883-93E2-48FAB3506772}" name="PivotTable5" cacheId="0" applyNumberFormats="0" applyBorderFormats="0" applyFontFormats="0" applyPatternFormats="0" applyAlignmentFormats="0" applyWidthHeightFormats="1" dataCaption="Values" tag="24ebedf7-1055-4ec1-8165-d812f4a88d52" updatedVersion="8" minRefreshableVersion="3" subtotalHiddenItems="1" itemPrintTitles="1" createdVersion="8" indent="0" outline="1" outlineData="1" multipleFieldFilters="0" chartFormat="44">
  <location ref="H5:I39" firstHeaderRow="1" firstDataRow="1" firstDataCol="1"/>
  <pivotFields count="5">
    <pivotField axis="axisRow" allDrilled="1" subtotalTop="0" showAll="0" dataSourceSort="1" defaultSubtotal="0" defaultAttributeDrillState="1">
      <items count="5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s>
    </pivotField>
    <pivotField axis="axisRow" allDrilled="1" subtotalTop="0" showAll="0" dataSourceSort="1" defaultSubtotal="0">
      <items count="366">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x="63" e="0"/>
        <item x="64" e="0"/>
        <item x="65" e="0"/>
        <item x="66" e="0"/>
        <item x="67" e="0"/>
        <item x="68" e="0"/>
        <item x="69" e="0"/>
        <item x="70" e="0"/>
        <item x="71" e="0"/>
        <item x="72" e="0"/>
        <item x="73" e="0"/>
        <item x="74" e="0"/>
        <item x="75" e="0"/>
        <item x="76" e="0"/>
        <item x="77" e="0"/>
        <item x="78" e="0"/>
        <item x="79" e="0"/>
        <item x="80" e="0"/>
        <item x="81" e="0"/>
        <item x="82" e="0"/>
        <item x="83" e="0"/>
        <item x="84" e="0"/>
        <item x="85" e="0"/>
        <item x="86" e="0"/>
        <item x="87" e="0"/>
        <item x="88" e="0"/>
        <item x="89" e="0"/>
        <item x="90" e="0"/>
        <item x="91" e="0"/>
        <item x="92" e="0"/>
        <item x="93" e="0"/>
        <item x="94" e="0"/>
        <item x="95" e="0"/>
        <item x="96" e="0"/>
        <item x="97" e="0"/>
        <item x="98" e="0"/>
        <item x="99" e="0"/>
        <item x="100" e="0"/>
        <item x="101" e="0"/>
        <item x="102" e="0"/>
        <item x="103" e="0"/>
        <item x="104" e="0"/>
        <item x="105" e="0"/>
        <item x="106" e="0"/>
        <item x="107" e="0"/>
        <item x="108" e="0"/>
        <item x="109" e="0"/>
        <item x="110" e="0"/>
        <item x="111" e="0"/>
        <item x="112" e="0"/>
        <item x="113" e="0"/>
        <item x="114" e="0"/>
        <item x="115" e="0"/>
        <item x="116" e="0"/>
        <item x="117" e="0"/>
        <item x="118" e="0"/>
        <item x="119" e="0"/>
        <item x="120" e="0"/>
        <item x="121" e="0"/>
        <item x="122" e="0"/>
        <item x="123" e="0"/>
        <item x="124" e="0"/>
        <item x="125" e="0"/>
        <item x="126" e="0"/>
        <item x="127" e="0"/>
        <item x="128" e="0"/>
        <item x="129" e="0"/>
        <item x="130" e="0"/>
        <item x="131" e="0"/>
        <item x="132" e="0"/>
        <item x="133" e="0"/>
        <item x="134" e="0"/>
        <item x="135" e="0"/>
        <item x="136" e="0"/>
        <item x="137" e="0"/>
        <item x="138" e="0"/>
        <item x="139" e="0"/>
        <item x="140" e="0"/>
        <item x="141" e="0"/>
        <item x="142" e="0"/>
        <item x="143" e="0"/>
        <item x="144" e="0"/>
        <item x="145" e="0"/>
        <item x="146" e="0"/>
        <item x="147" e="0"/>
        <item x="148" e="0"/>
        <item x="149" e="0"/>
        <item x="150" e="0"/>
        <item x="151" e="0"/>
        <item x="152" e="0"/>
        <item x="153" e="0"/>
        <item x="154" e="0"/>
        <item x="155" e="0"/>
        <item x="156" e="0"/>
        <item x="157" e="0"/>
        <item x="158" e="0"/>
        <item x="159" e="0"/>
        <item x="160" e="0"/>
        <item x="161" e="0"/>
        <item x="162" e="0"/>
        <item x="163" e="0"/>
        <item x="164" e="0"/>
        <item x="165" e="0"/>
        <item x="166" e="0"/>
        <item x="167" e="0"/>
        <item x="168" e="0"/>
        <item x="169" e="0"/>
        <item x="170" e="0"/>
        <item x="171" e="0"/>
        <item x="172" e="0"/>
        <item x="173" e="0"/>
        <item x="174" e="0"/>
        <item x="175" e="0"/>
        <item x="176" e="0"/>
        <item x="177" e="0"/>
        <item x="178" e="0"/>
        <item x="179" e="0"/>
        <item x="180" e="0"/>
        <item x="181" e="0"/>
        <item x="182" e="0"/>
        <item x="183" e="0"/>
        <item x="184" e="0"/>
        <item x="185" e="0"/>
        <item x="186" e="0"/>
        <item x="187" e="0"/>
        <item x="188" e="0"/>
        <item x="189" e="0"/>
        <item x="190" e="0"/>
        <item x="191" e="0"/>
        <item x="192" e="0"/>
        <item x="193" e="0"/>
        <item x="194" e="0"/>
        <item x="195" e="0"/>
        <item x="196" e="0"/>
        <item x="197" e="0"/>
        <item x="198" e="0"/>
        <item x="199" e="0"/>
        <item x="200" e="0"/>
        <item x="201" e="0"/>
        <item x="202" e="0"/>
        <item x="203" e="0"/>
        <item x="204" e="0"/>
        <item x="205" e="0"/>
        <item x="206" e="0"/>
        <item x="207" e="0"/>
        <item x="208" e="0"/>
        <item x="209" e="0"/>
        <item x="210" e="0"/>
        <item x="211" e="0"/>
        <item x="212" e="0"/>
        <item x="213" e="0"/>
        <item x="214" e="0"/>
        <item x="215" e="0"/>
        <item x="216" e="0"/>
        <item x="217" e="0"/>
        <item x="218" e="0"/>
        <item x="219" e="0"/>
        <item x="220" e="0"/>
        <item x="221" e="0"/>
        <item x="222" e="0"/>
        <item x="223" e="0"/>
        <item x="224" e="0"/>
        <item x="225" e="0"/>
        <item x="226" e="0"/>
        <item x="227" e="0"/>
        <item x="228" e="0"/>
        <item x="229" e="0"/>
        <item x="230" e="0"/>
        <item x="231" e="0"/>
        <item x="232" e="0"/>
        <item x="233" e="0"/>
        <item x="234" e="0"/>
        <item x="235" e="0"/>
        <item x="236" e="0"/>
        <item x="237" e="0"/>
        <item x="238" e="0"/>
        <item x="239" e="0"/>
        <item x="240" e="0"/>
        <item x="241" e="0"/>
        <item x="242" e="0"/>
        <item x="243" e="0"/>
        <item x="244" e="0"/>
        <item x="245" e="0"/>
        <item x="246" e="0"/>
        <item x="247" e="0"/>
        <item x="248" e="0"/>
        <item x="249" e="0"/>
        <item x="250" e="0"/>
        <item x="251" e="0"/>
        <item x="252" e="0"/>
        <item x="253" e="0"/>
        <item x="254" e="0"/>
        <item x="255" e="0"/>
        <item x="256" e="0"/>
        <item x="257" e="0"/>
        <item x="258" e="0"/>
        <item x="259" e="0"/>
        <item x="260" e="0"/>
        <item x="261" e="0"/>
        <item x="262" e="0"/>
        <item x="263" e="0"/>
        <item x="264" e="0"/>
        <item x="265" e="0"/>
        <item x="266" e="0"/>
        <item x="267" e="0"/>
        <item x="268" e="0"/>
        <item x="269" e="0"/>
        <item x="270" e="0"/>
        <item x="271" e="0"/>
        <item x="272" e="0"/>
        <item x="273" e="0"/>
        <item x="274" e="0"/>
        <item x="275" e="0"/>
        <item x="276" e="0"/>
        <item x="277" e="0"/>
        <item x="278" e="0"/>
        <item x="279" e="0"/>
        <item x="280" e="0"/>
        <item x="281" e="0"/>
        <item x="282" e="0"/>
        <item x="283" e="0"/>
        <item x="284" e="0"/>
        <item x="285" e="0"/>
        <item x="286" e="0"/>
        <item x="287" e="0"/>
        <item x="288" e="0"/>
        <item x="289" e="0"/>
        <item x="290" e="0"/>
        <item x="291" e="0"/>
        <item x="292" e="0"/>
        <item x="293" e="0"/>
        <item x="294" e="0"/>
        <item x="295" e="0"/>
        <item x="296" e="0"/>
        <item x="297" e="0"/>
        <item x="298" e="0"/>
        <item x="299" e="0"/>
        <item x="300" e="0"/>
        <item x="301" e="0"/>
        <item x="302" e="0"/>
        <item x="303" e="0"/>
        <item x="304" e="0"/>
        <item x="305" e="0"/>
        <item x="306" e="0"/>
        <item x="307" e="0"/>
        <item x="308" e="0"/>
        <item x="309" e="0"/>
        <item x="310" e="0"/>
        <item x="311" e="0"/>
        <item x="312" e="0"/>
        <item x="313" e="0"/>
        <item x="314" e="0"/>
        <item x="315" e="0"/>
        <item x="316" e="0"/>
        <item x="317" e="0"/>
        <item x="318" e="0"/>
        <item x="319" e="0"/>
        <item x="320" e="0"/>
        <item x="321" e="0"/>
        <item x="322" e="0"/>
        <item x="323" e="0"/>
        <item x="324" e="0"/>
        <item x="325" e="0"/>
        <item x="326" e="0"/>
        <item x="327" e="0"/>
        <item x="328" e="0"/>
        <item x="329" e="0"/>
        <item x="330" e="0"/>
        <item x="331" e="0"/>
        <item x="332" e="0"/>
        <item x="333" e="0"/>
        <item x="334" e="0"/>
        <item x="335" e="0"/>
        <item x="336" e="0"/>
        <item x="337" e="0"/>
        <item x="338" e="0"/>
        <item x="339" e="0"/>
        <item x="340" e="0"/>
        <item x="341" e="0"/>
        <item x="342" e="0"/>
        <item x="343" e="0"/>
        <item x="344" e="0"/>
        <item x="345" e="0"/>
        <item x="346" e="0"/>
        <item x="347" e="0"/>
        <item x="348" e="0"/>
        <item x="349" e="0"/>
        <item x="350" e="0"/>
        <item x="351" e="0"/>
        <item x="352" e="0"/>
        <item x="353" e="0"/>
        <item x="354" e="0"/>
        <item x="355" e="0"/>
        <item x="356" e="0"/>
        <item x="357" e="0"/>
        <item x="358" e="0"/>
        <item x="359" e="0"/>
        <item x="360" e="0"/>
        <item x="361" e="0"/>
        <item x="362" e="0"/>
        <item x="363" e="0"/>
        <item x="364" e="0"/>
        <item x="365" e="0"/>
      </items>
    </pivotField>
    <pivotField axis="axisRow" allDrilled="1" subtotalTop="0" showAll="0" dataSourceSort="1" defaultSubtotal="0" defaultAttributeDrillState="1">
      <items count="12">
        <item s="1" x="0"/>
        <item x="1"/>
        <item x="2"/>
        <item x="3"/>
        <item x="4"/>
        <item x="5"/>
        <item x="6"/>
        <item x="7"/>
        <item x="8"/>
        <item x="9"/>
        <item x="10"/>
        <item x="11"/>
      </items>
    </pivotField>
    <pivotField dataField="1" subtotalTop="0" showAll="0" defaultSubtotal="0"/>
    <pivotField axis="axisRow" allDrilled="1" subtotalTop="0" showAll="0" dataSourceSort="1" defaultSubtotal="0" defaultAttributeDrillState="1">
      <items count="1">
        <item s="1" x="0"/>
      </items>
    </pivotField>
  </pivotFields>
  <rowFields count="4">
    <field x="4"/>
    <field x="2"/>
    <field x="1"/>
    <field x="0"/>
  </rowFields>
  <rowItems count="34">
    <i>
      <x/>
    </i>
    <i r="1">
      <x/>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t="grand">
      <x/>
    </i>
  </rowItems>
  <colItems count="1">
    <i/>
  </colItems>
  <dataFields count="1">
    <dataField name="Average of Patient Waittime" fld="3" subtotal="average" baseField="2" baseItem="0"/>
  </dataFields>
  <formats count="379">
    <format dxfId="756">
      <pivotArea collapsedLevelsAreSubtotals="1" fieldPosition="0">
        <references count="1">
          <reference field="2" count="1">
            <x v="6"/>
          </reference>
        </references>
      </pivotArea>
    </format>
    <format dxfId="755">
      <pivotArea collapsedLevelsAreSubtotals="1" fieldPosition="0">
        <references count="2">
          <reference field="1" count="1">
            <x v="185"/>
          </reference>
          <reference field="2" count="1" selected="0">
            <x v="6"/>
          </reference>
        </references>
      </pivotArea>
    </format>
    <format dxfId="754">
      <pivotArea collapsedLevelsAreSubtotals="1" fieldPosition="0">
        <references count="2">
          <reference field="1" count="1">
            <x v="186"/>
          </reference>
          <reference field="2" count="1" selected="0">
            <x v="6"/>
          </reference>
        </references>
      </pivotArea>
    </format>
    <format dxfId="753">
      <pivotArea collapsedLevelsAreSubtotals="1" fieldPosition="0">
        <references count="2">
          <reference field="1" count="1">
            <x v="187"/>
          </reference>
          <reference field="2" count="1" selected="0">
            <x v="6"/>
          </reference>
        </references>
      </pivotArea>
    </format>
    <format dxfId="752">
      <pivotArea collapsedLevelsAreSubtotals="1" fieldPosition="0">
        <references count="2">
          <reference field="1" count="1">
            <x v="188"/>
          </reference>
          <reference field="2" count="1" selected="0">
            <x v="6"/>
          </reference>
        </references>
      </pivotArea>
    </format>
    <format dxfId="751">
      <pivotArea collapsedLevelsAreSubtotals="1" fieldPosition="0">
        <references count="2">
          <reference field="1" count="1">
            <x v="189"/>
          </reference>
          <reference field="2" count="1" selected="0">
            <x v="6"/>
          </reference>
        </references>
      </pivotArea>
    </format>
    <format dxfId="750">
      <pivotArea collapsedLevelsAreSubtotals="1" fieldPosition="0">
        <references count="2">
          <reference field="1" count="1">
            <x v="190"/>
          </reference>
          <reference field="2" count="1" selected="0">
            <x v="6"/>
          </reference>
        </references>
      </pivotArea>
    </format>
    <format dxfId="749">
      <pivotArea collapsedLevelsAreSubtotals="1" fieldPosition="0">
        <references count="2">
          <reference field="1" count="1">
            <x v="191"/>
          </reference>
          <reference field="2" count="1" selected="0">
            <x v="6"/>
          </reference>
        </references>
      </pivotArea>
    </format>
    <format dxfId="748">
      <pivotArea collapsedLevelsAreSubtotals="1" fieldPosition="0">
        <references count="2">
          <reference field="1" count="1">
            <x v="192"/>
          </reference>
          <reference field="2" count="1" selected="0">
            <x v="6"/>
          </reference>
        </references>
      </pivotArea>
    </format>
    <format dxfId="747">
      <pivotArea collapsedLevelsAreSubtotals="1" fieldPosition="0">
        <references count="2">
          <reference field="1" count="1">
            <x v="193"/>
          </reference>
          <reference field="2" count="1" selected="0">
            <x v="6"/>
          </reference>
        </references>
      </pivotArea>
    </format>
    <format dxfId="746">
      <pivotArea collapsedLevelsAreSubtotals="1" fieldPosition="0">
        <references count="2">
          <reference field="1" count="1">
            <x v="194"/>
          </reference>
          <reference field="2" count="1" selected="0">
            <x v="6"/>
          </reference>
        </references>
      </pivotArea>
    </format>
    <format dxfId="745">
      <pivotArea collapsedLevelsAreSubtotals="1" fieldPosition="0">
        <references count="2">
          <reference field="1" count="1">
            <x v="195"/>
          </reference>
          <reference field="2" count="1" selected="0">
            <x v="6"/>
          </reference>
        </references>
      </pivotArea>
    </format>
    <format dxfId="744">
      <pivotArea collapsedLevelsAreSubtotals="1" fieldPosition="0">
        <references count="2">
          <reference field="1" count="1">
            <x v="196"/>
          </reference>
          <reference field="2" count="1" selected="0">
            <x v="6"/>
          </reference>
        </references>
      </pivotArea>
    </format>
    <format dxfId="743">
      <pivotArea collapsedLevelsAreSubtotals="1" fieldPosition="0">
        <references count="2">
          <reference field="1" count="1">
            <x v="197"/>
          </reference>
          <reference field="2" count="1" selected="0">
            <x v="6"/>
          </reference>
        </references>
      </pivotArea>
    </format>
    <format dxfId="742">
      <pivotArea collapsedLevelsAreSubtotals="1" fieldPosition="0">
        <references count="2">
          <reference field="1" count="1">
            <x v="198"/>
          </reference>
          <reference field="2" count="1" selected="0">
            <x v="6"/>
          </reference>
        </references>
      </pivotArea>
    </format>
    <format dxfId="741">
      <pivotArea collapsedLevelsAreSubtotals="1" fieldPosition="0">
        <references count="2">
          <reference field="1" count="1">
            <x v="199"/>
          </reference>
          <reference field="2" count="1" selected="0">
            <x v="6"/>
          </reference>
        </references>
      </pivotArea>
    </format>
    <format dxfId="740">
      <pivotArea collapsedLevelsAreSubtotals="1" fieldPosition="0">
        <references count="2">
          <reference field="1" count="1">
            <x v="200"/>
          </reference>
          <reference field="2" count="1" selected="0">
            <x v="6"/>
          </reference>
        </references>
      </pivotArea>
    </format>
    <format dxfId="739">
      <pivotArea collapsedLevelsAreSubtotals="1" fieldPosition="0">
        <references count="2">
          <reference field="1" count="1">
            <x v="201"/>
          </reference>
          <reference field="2" count="1" selected="0">
            <x v="6"/>
          </reference>
        </references>
      </pivotArea>
    </format>
    <format dxfId="738">
      <pivotArea collapsedLevelsAreSubtotals="1" fieldPosition="0">
        <references count="2">
          <reference field="1" count="1">
            <x v="202"/>
          </reference>
          <reference field="2" count="1" selected="0">
            <x v="6"/>
          </reference>
        </references>
      </pivotArea>
    </format>
    <format dxfId="737">
      <pivotArea collapsedLevelsAreSubtotals="1" fieldPosition="0">
        <references count="2">
          <reference field="1" count="1">
            <x v="203"/>
          </reference>
          <reference field="2" count="1" selected="0">
            <x v="6"/>
          </reference>
        </references>
      </pivotArea>
    </format>
    <format dxfId="736">
      <pivotArea collapsedLevelsAreSubtotals="1" fieldPosition="0">
        <references count="2">
          <reference field="1" count="1">
            <x v="204"/>
          </reference>
          <reference field="2" count="1" selected="0">
            <x v="6"/>
          </reference>
        </references>
      </pivotArea>
    </format>
    <format dxfId="735">
      <pivotArea collapsedLevelsAreSubtotals="1" fieldPosition="0">
        <references count="2">
          <reference field="1" count="1">
            <x v="205"/>
          </reference>
          <reference field="2" count="1" selected="0">
            <x v="6"/>
          </reference>
        </references>
      </pivotArea>
    </format>
    <format dxfId="734">
      <pivotArea collapsedLevelsAreSubtotals="1" fieldPosition="0">
        <references count="2">
          <reference field="1" count="1">
            <x v="206"/>
          </reference>
          <reference field="2" count="1" selected="0">
            <x v="6"/>
          </reference>
        </references>
      </pivotArea>
    </format>
    <format dxfId="733">
      <pivotArea collapsedLevelsAreSubtotals="1" fieldPosition="0">
        <references count="2">
          <reference field="1" count="1">
            <x v="207"/>
          </reference>
          <reference field="2" count="1" selected="0">
            <x v="6"/>
          </reference>
        </references>
      </pivotArea>
    </format>
    <format dxfId="732">
      <pivotArea collapsedLevelsAreSubtotals="1" fieldPosition="0">
        <references count="2">
          <reference field="1" count="1">
            <x v="208"/>
          </reference>
          <reference field="2" count="1" selected="0">
            <x v="6"/>
          </reference>
        </references>
      </pivotArea>
    </format>
    <format dxfId="731">
      <pivotArea collapsedLevelsAreSubtotals="1" fieldPosition="0">
        <references count="2">
          <reference field="1" count="1">
            <x v="209"/>
          </reference>
          <reference field="2" count="1" selected="0">
            <x v="6"/>
          </reference>
        </references>
      </pivotArea>
    </format>
    <format dxfId="730">
      <pivotArea collapsedLevelsAreSubtotals="1" fieldPosition="0">
        <references count="2">
          <reference field="1" count="1">
            <x v="210"/>
          </reference>
          <reference field="2" count="1" selected="0">
            <x v="6"/>
          </reference>
        </references>
      </pivotArea>
    </format>
    <format dxfId="729">
      <pivotArea collapsedLevelsAreSubtotals="1" fieldPosition="0">
        <references count="2">
          <reference field="1" count="1">
            <x v="211"/>
          </reference>
          <reference field="2" count="1" selected="0">
            <x v="6"/>
          </reference>
        </references>
      </pivotArea>
    </format>
    <format dxfId="728">
      <pivotArea collapsedLevelsAreSubtotals="1" fieldPosition="0">
        <references count="2">
          <reference field="1" count="1">
            <x v="212"/>
          </reference>
          <reference field="2" count="1" selected="0">
            <x v="6"/>
          </reference>
        </references>
      </pivotArea>
    </format>
    <format dxfId="727">
      <pivotArea collapsedLevelsAreSubtotals="1" fieldPosition="0">
        <references count="2">
          <reference field="1" count="1">
            <x v="213"/>
          </reference>
          <reference field="2" count="1" selected="0">
            <x v="6"/>
          </reference>
        </references>
      </pivotArea>
    </format>
    <format dxfId="726">
      <pivotArea collapsedLevelsAreSubtotals="1" fieldPosition="0">
        <references count="2">
          <reference field="1" count="1">
            <x v="214"/>
          </reference>
          <reference field="2" count="1" selected="0">
            <x v="6"/>
          </reference>
        </references>
      </pivotArea>
    </format>
    <format dxfId="725">
      <pivotArea collapsedLevelsAreSubtotals="1" fieldPosition="0">
        <references count="2">
          <reference field="1" count="1">
            <x v="215"/>
          </reference>
          <reference field="2" count="1" selected="0">
            <x v="6"/>
          </reference>
        </references>
      </pivotArea>
    </format>
    <format dxfId="724">
      <pivotArea collapsedLevelsAreSubtotals="1" fieldPosition="0">
        <references count="1">
          <reference field="2" count="1">
            <x v="8"/>
          </reference>
        </references>
      </pivotArea>
    </format>
    <format dxfId="723">
      <pivotArea collapsedLevelsAreSubtotals="1" fieldPosition="0">
        <references count="2">
          <reference field="1" count="1">
            <x v="246"/>
          </reference>
          <reference field="2" count="1" selected="0">
            <x v="8"/>
          </reference>
        </references>
      </pivotArea>
    </format>
    <format dxfId="722">
      <pivotArea collapsedLevelsAreSubtotals="1" fieldPosition="0">
        <references count="2">
          <reference field="1" count="1">
            <x v="247"/>
          </reference>
          <reference field="2" count="1" selected="0">
            <x v="8"/>
          </reference>
        </references>
      </pivotArea>
    </format>
    <format dxfId="721">
      <pivotArea collapsedLevelsAreSubtotals="1" fieldPosition="0">
        <references count="2">
          <reference field="1" count="1">
            <x v="248"/>
          </reference>
          <reference field="2" count="1" selected="0">
            <x v="8"/>
          </reference>
        </references>
      </pivotArea>
    </format>
    <format dxfId="720">
      <pivotArea collapsedLevelsAreSubtotals="1" fieldPosition="0">
        <references count="2">
          <reference field="1" count="1">
            <x v="249"/>
          </reference>
          <reference field="2" count="1" selected="0">
            <x v="8"/>
          </reference>
        </references>
      </pivotArea>
    </format>
    <format dxfId="719">
      <pivotArea collapsedLevelsAreSubtotals="1" fieldPosition="0">
        <references count="2">
          <reference field="1" count="1">
            <x v="250"/>
          </reference>
          <reference field="2" count="1" selected="0">
            <x v="8"/>
          </reference>
        </references>
      </pivotArea>
    </format>
    <format dxfId="718">
      <pivotArea collapsedLevelsAreSubtotals="1" fieldPosition="0">
        <references count="2">
          <reference field="1" count="1">
            <x v="251"/>
          </reference>
          <reference field="2" count="1" selected="0">
            <x v="8"/>
          </reference>
        </references>
      </pivotArea>
    </format>
    <format dxfId="717">
      <pivotArea collapsedLevelsAreSubtotals="1" fieldPosition="0">
        <references count="2">
          <reference field="1" count="1">
            <x v="252"/>
          </reference>
          <reference field="2" count="1" selected="0">
            <x v="8"/>
          </reference>
        </references>
      </pivotArea>
    </format>
    <format dxfId="716">
      <pivotArea collapsedLevelsAreSubtotals="1" fieldPosition="0">
        <references count="2">
          <reference field="1" count="1">
            <x v="253"/>
          </reference>
          <reference field="2" count="1" selected="0">
            <x v="8"/>
          </reference>
        </references>
      </pivotArea>
    </format>
    <format dxfId="715">
      <pivotArea collapsedLevelsAreSubtotals="1" fieldPosition="0">
        <references count="2">
          <reference field="1" count="1">
            <x v="254"/>
          </reference>
          <reference field="2" count="1" selected="0">
            <x v="8"/>
          </reference>
        </references>
      </pivotArea>
    </format>
    <format dxfId="714">
      <pivotArea collapsedLevelsAreSubtotals="1" fieldPosition="0">
        <references count="2">
          <reference field="1" count="1">
            <x v="255"/>
          </reference>
          <reference field="2" count="1" selected="0">
            <x v="8"/>
          </reference>
        </references>
      </pivotArea>
    </format>
    <format dxfId="713">
      <pivotArea collapsedLevelsAreSubtotals="1" fieldPosition="0">
        <references count="2">
          <reference field="1" count="1">
            <x v="256"/>
          </reference>
          <reference field="2" count="1" selected="0">
            <x v="8"/>
          </reference>
        </references>
      </pivotArea>
    </format>
    <format dxfId="712">
      <pivotArea collapsedLevelsAreSubtotals="1" fieldPosition="0">
        <references count="2">
          <reference field="1" count="1">
            <x v="257"/>
          </reference>
          <reference field="2" count="1" selected="0">
            <x v="8"/>
          </reference>
        </references>
      </pivotArea>
    </format>
    <format dxfId="711">
      <pivotArea collapsedLevelsAreSubtotals="1" fieldPosition="0">
        <references count="2">
          <reference field="1" count="1">
            <x v="258"/>
          </reference>
          <reference field="2" count="1" selected="0">
            <x v="8"/>
          </reference>
        </references>
      </pivotArea>
    </format>
    <format dxfId="710">
      <pivotArea collapsedLevelsAreSubtotals="1" fieldPosition="0">
        <references count="2">
          <reference field="1" count="1">
            <x v="259"/>
          </reference>
          <reference field="2" count="1" selected="0">
            <x v="8"/>
          </reference>
        </references>
      </pivotArea>
    </format>
    <format dxfId="709">
      <pivotArea collapsedLevelsAreSubtotals="1" fieldPosition="0">
        <references count="2">
          <reference field="1" count="1">
            <x v="260"/>
          </reference>
          <reference field="2" count="1" selected="0">
            <x v="8"/>
          </reference>
        </references>
      </pivotArea>
    </format>
    <format dxfId="708">
      <pivotArea collapsedLevelsAreSubtotals="1" fieldPosition="0">
        <references count="2">
          <reference field="1" count="1">
            <x v="261"/>
          </reference>
          <reference field="2" count="1" selected="0">
            <x v="8"/>
          </reference>
        </references>
      </pivotArea>
    </format>
    <format dxfId="707">
      <pivotArea collapsedLevelsAreSubtotals="1" fieldPosition="0">
        <references count="2">
          <reference field="1" count="1">
            <x v="262"/>
          </reference>
          <reference field="2" count="1" selected="0">
            <x v="8"/>
          </reference>
        </references>
      </pivotArea>
    </format>
    <format dxfId="706">
      <pivotArea collapsedLevelsAreSubtotals="1" fieldPosition="0">
        <references count="2">
          <reference field="1" count="1">
            <x v="263"/>
          </reference>
          <reference field="2" count="1" selected="0">
            <x v="8"/>
          </reference>
        </references>
      </pivotArea>
    </format>
    <format dxfId="705">
      <pivotArea collapsedLevelsAreSubtotals="1" fieldPosition="0">
        <references count="2">
          <reference field="1" count="1">
            <x v="264"/>
          </reference>
          <reference field="2" count="1" selected="0">
            <x v="8"/>
          </reference>
        </references>
      </pivotArea>
    </format>
    <format dxfId="704">
      <pivotArea collapsedLevelsAreSubtotals="1" fieldPosition="0">
        <references count="2">
          <reference field="1" count="1">
            <x v="265"/>
          </reference>
          <reference field="2" count="1" selected="0">
            <x v="8"/>
          </reference>
        </references>
      </pivotArea>
    </format>
    <format dxfId="703">
      <pivotArea collapsedLevelsAreSubtotals="1" fieldPosition="0">
        <references count="2">
          <reference field="1" count="1">
            <x v="266"/>
          </reference>
          <reference field="2" count="1" selected="0">
            <x v="8"/>
          </reference>
        </references>
      </pivotArea>
    </format>
    <format dxfId="702">
      <pivotArea collapsedLevelsAreSubtotals="1" fieldPosition="0">
        <references count="2">
          <reference field="1" count="1">
            <x v="267"/>
          </reference>
          <reference field="2" count="1" selected="0">
            <x v="8"/>
          </reference>
        </references>
      </pivotArea>
    </format>
    <format dxfId="701">
      <pivotArea collapsedLevelsAreSubtotals="1" fieldPosition="0">
        <references count="2">
          <reference field="1" count="1">
            <x v="268"/>
          </reference>
          <reference field="2" count="1" selected="0">
            <x v="8"/>
          </reference>
        </references>
      </pivotArea>
    </format>
    <format dxfId="700">
      <pivotArea collapsedLevelsAreSubtotals="1" fieldPosition="0">
        <references count="2">
          <reference field="1" count="1">
            <x v="269"/>
          </reference>
          <reference field="2" count="1" selected="0">
            <x v="8"/>
          </reference>
        </references>
      </pivotArea>
    </format>
    <format dxfId="699">
      <pivotArea collapsedLevelsAreSubtotals="1" fieldPosition="0">
        <references count="2">
          <reference field="1" count="1">
            <x v="270"/>
          </reference>
          <reference field="2" count="1" selected="0">
            <x v="8"/>
          </reference>
        </references>
      </pivotArea>
    </format>
    <format dxfId="698">
      <pivotArea collapsedLevelsAreSubtotals="1" fieldPosition="0">
        <references count="2">
          <reference field="1" count="1">
            <x v="271"/>
          </reference>
          <reference field="2" count="1" selected="0">
            <x v="8"/>
          </reference>
        </references>
      </pivotArea>
    </format>
    <format dxfId="697">
      <pivotArea collapsedLevelsAreSubtotals="1" fieldPosition="0">
        <references count="2">
          <reference field="1" count="1">
            <x v="272"/>
          </reference>
          <reference field="2" count="1" selected="0">
            <x v="8"/>
          </reference>
        </references>
      </pivotArea>
    </format>
    <format dxfId="696">
      <pivotArea collapsedLevelsAreSubtotals="1" fieldPosition="0">
        <references count="2">
          <reference field="1" count="1">
            <x v="273"/>
          </reference>
          <reference field="2" count="1" selected="0">
            <x v="8"/>
          </reference>
        </references>
      </pivotArea>
    </format>
    <format dxfId="695">
      <pivotArea collapsedLevelsAreSubtotals="1" fieldPosition="0">
        <references count="2">
          <reference field="1" count="1">
            <x v="274"/>
          </reference>
          <reference field="2" count="1" selected="0">
            <x v="8"/>
          </reference>
        </references>
      </pivotArea>
    </format>
    <format dxfId="694">
      <pivotArea collapsedLevelsAreSubtotals="1" fieldPosition="0">
        <references count="1">
          <reference field="2" count="1">
            <x v="5"/>
          </reference>
        </references>
      </pivotArea>
    </format>
    <format dxfId="693">
      <pivotArea collapsedLevelsAreSubtotals="1" fieldPosition="0">
        <references count="2">
          <reference field="1" count="1">
            <x v="154"/>
          </reference>
          <reference field="2" count="1" selected="0">
            <x v="5"/>
          </reference>
        </references>
      </pivotArea>
    </format>
    <format dxfId="692">
      <pivotArea collapsedLevelsAreSubtotals="1" fieldPosition="0">
        <references count="2">
          <reference field="1" count="1">
            <x v="155"/>
          </reference>
          <reference field="2" count="1" selected="0">
            <x v="5"/>
          </reference>
        </references>
      </pivotArea>
    </format>
    <format dxfId="691">
      <pivotArea collapsedLevelsAreSubtotals="1" fieldPosition="0">
        <references count="2">
          <reference field="1" count="1">
            <x v="156"/>
          </reference>
          <reference field="2" count="1" selected="0">
            <x v="5"/>
          </reference>
        </references>
      </pivotArea>
    </format>
    <format dxfId="690">
      <pivotArea collapsedLevelsAreSubtotals="1" fieldPosition="0">
        <references count="2">
          <reference field="1" count="1">
            <x v="157"/>
          </reference>
          <reference field="2" count="1" selected="0">
            <x v="5"/>
          </reference>
        </references>
      </pivotArea>
    </format>
    <format dxfId="689">
      <pivotArea collapsedLevelsAreSubtotals="1" fieldPosition="0">
        <references count="2">
          <reference field="1" count="1">
            <x v="158"/>
          </reference>
          <reference field="2" count="1" selected="0">
            <x v="5"/>
          </reference>
        </references>
      </pivotArea>
    </format>
    <format dxfId="688">
      <pivotArea collapsedLevelsAreSubtotals="1" fieldPosition="0">
        <references count="2">
          <reference field="1" count="1">
            <x v="159"/>
          </reference>
          <reference field="2" count="1" selected="0">
            <x v="5"/>
          </reference>
        </references>
      </pivotArea>
    </format>
    <format dxfId="687">
      <pivotArea collapsedLevelsAreSubtotals="1" fieldPosition="0">
        <references count="2">
          <reference field="1" count="1">
            <x v="160"/>
          </reference>
          <reference field="2" count="1" selected="0">
            <x v="5"/>
          </reference>
        </references>
      </pivotArea>
    </format>
    <format dxfId="686">
      <pivotArea collapsedLevelsAreSubtotals="1" fieldPosition="0">
        <references count="2">
          <reference field="1" count="1">
            <x v="161"/>
          </reference>
          <reference field="2" count="1" selected="0">
            <x v="5"/>
          </reference>
        </references>
      </pivotArea>
    </format>
    <format dxfId="685">
      <pivotArea collapsedLevelsAreSubtotals="1" fieldPosition="0">
        <references count="2">
          <reference field="1" count="1">
            <x v="162"/>
          </reference>
          <reference field="2" count="1" selected="0">
            <x v="5"/>
          </reference>
        </references>
      </pivotArea>
    </format>
    <format dxfId="684">
      <pivotArea collapsedLevelsAreSubtotals="1" fieldPosition="0">
        <references count="2">
          <reference field="1" count="1">
            <x v="163"/>
          </reference>
          <reference field="2" count="1" selected="0">
            <x v="5"/>
          </reference>
        </references>
      </pivotArea>
    </format>
    <format dxfId="683">
      <pivotArea collapsedLevelsAreSubtotals="1" fieldPosition="0">
        <references count="2">
          <reference field="1" count="1">
            <x v="164"/>
          </reference>
          <reference field="2" count="1" selected="0">
            <x v="5"/>
          </reference>
        </references>
      </pivotArea>
    </format>
    <format dxfId="682">
      <pivotArea collapsedLevelsAreSubtotals="1" fieldPosition="0">
        <references count="2">
          <reference field="1" count="1">
            <x v="165"/>
          </reference>
          <reference field="2" count="1" selected="0">
            <x v="5"/>
          </reference>
        </references>
      </pivotArea>
    </format>
    <format dxfId="681">
      <pivotArea collapsedLevelsAreSubtotals="1" fieldPosition="0">
        <references count="2">
          <reference field="1" count="1">
            <x v="166"/>
          </reference>
          <reference field="2" count="1" selected="0">
            <x v="5"/>
          </reference>
        </references>
      </pivotArea>
    </format>
    <format dxfId="680">
      <pivotArea collapsedLevelsAreSubtotals="1" fieldPosition="0">
        <references count="2">
          <reference field="1" count="1">
            <x v="167"/>
          </reference>
          <reference field="2" count="1" selected="0">
            <x v="5"/>
          </reference>
        </references>
      </pivotArea>
    </format>
    <format dxfId="679">
      <pivotArea collapsedLevelsAreSubtotals="1" fieldPosition="0">
        <references count="2">
          <reference field="1" count="1">
            <x v="168"/>
          </reference>
          <reference field="2" count="1" selected="0">
            <x v="5"/>
          </reference>
        </references>
      </pivotArea>
    </format>
    <format dxfId="678">
      <pivotArea collapsedLevelsAreSubtotals="1" fieldPosition="0">
        <references count="2">
          <reference field="1" count="1">
            <x v="169"/>
          </reference>
          <reference field="2" count="1" selected="0">
            <x v="5"/>
          </reference>
        </references>
      </pivotArea>
    </format>
    <format dxfId="677">
      <pivotArea collapsedLevelsAreSubtotals="1" fieldPosition="0">
        <references count="2">
          <reference field="1" count="1">
            <x v="170"/>
          </reference>
          <reference field="2" count="1" selected="0">
            <x v="5"/>
          </reference>
        </references>
      </pivotArea>
    </format>
    <format dxfId="676">
      <pivotArea collapsedLevelsAreSubtotals="1" fieldPosition="0">
        <references count="2">
          <reference field="1" count="1">
            <x v="171"/>
          </reference>
          <reference field="2" count="1" selected="0">
            <x v="5"/>
          </reference>
        </references>
      </pivotArea>
    </format>
    <format dxfId="675">
      <pivotArea collapsedLevelsAreSubtotals="1" fieldPosition="0">
        <references count="2">
          <reference field="1" count="1">
            <x v="172"/>
          </reference>
          <reference field="2" count="1" selected="0">
            <x v="5"/>
          </reference>
        </references>
      </pivotArea>
    </format>
    <format dxfId="674">
      <pivotArea collapsedLevelsAreSubtotals="1" fieldPosition="0">
        <references count="2">
          <reference field="1" count="1">
            <x v="173"/>
          </reference>
          <reference field="2" count="1" selected="0">
            <x v="5"/>
          </reference>
        </references>
      </pivotArea>
    </format>
    <format dxfId="673">
      <pivotArea collapsedLevelsAreSubtotals="1" fieldPosition="0">
        <references count="2">
          <reference field="1" count="1">
            <x v="174"/>
          </reference>
          <reference field="2" count="1" selected="0">
            <x v="5"/>
          </reference>
        </references>
      </pivotArea>
    </format>
    <format dxfId="672">
      <pivotArea collapsedLevelsAreSubtotals="1" fieldPosition="0">
        <references count="2">
          <reference field="1" count="1">
            <x v="175"/>
          </reference>
          <reference field="2" count="1" selected="0">
            <x v="5"/>
          </reference>
        </references>
      </pivotArea>
    </format>
    <format dxfId="671">
      <pivotArea collapsedLevelsAreSubtotals="1" fieldPosition="0">
        <references count="2">
          <reference field="1" count="1">
            <x v="176"/>
          </reference>
          <reference field="2" count="1" selected="0">
            <x v="5"/>
          </reference>
        </references>
      </pivotArea>
    </format>
    <format dxfId="670">
      <pivotArea collapsedLevelsAreSubtotals="1" fieldPosition="0">
        <references count="2">
          <reference field="1" count="1">
            <x v="177"/>
          </reference>
          <reference field="2" count="1" selected="0">
            <x v="5"/>
          </reference>
        </references>
      </pivotArea>
    </format>
    <format dxfId="669">
      <pivotArea collapsedLevelsAreSubtotals="1" fieldPosition="0">
        <references count="2">
          <reference field="1" count="1">
            <x v="178"/>
          </reference>
          <reference field="2" count="1" selected="0">
            <x v="5"/>
          </reference>
        </references>
      </pivotArea>
    </format>
    <format dxfId="668">
      <pivotArea collapsedLevelsAreSubtotals="1" fieldPosition="0">
        <references count="2">
          <reference field="1" count="1">
            <x v="179"/>
          </reference>
          <reference field="2" count="1" selected="0">
            <x v="5"/>
          </reference>
        </references>
      </pivotArea>
    </format>
    <format dxfId="667">
      <pivotArea collapsedLevelsAreSubtotals="1" fieldPosition="0">
        <references count="2">
          <reference field="1" count="1">
            <x v="180"/>
          </reference>
          <reference field="2" count="1" selected="0">
            <x v="5"/>
          </reference>
        </references>
      </pivotArea>
    </format>
    <format dxfId="666">
      <pivotArea collapsedLevelsAreSubtotals="1" fieldPosition="0">
        <references count="2">
          <reference field="1" count="1">
            <x v="181"/>
          </reference>
          <reference field="2" count="1" selected="0">
            <x v="5"/>
          </reference>
        </references>
      </pivotArea>
    </format>
    <format dxfId="665">
      <pivotArea collapsedLevelsAreSubtotals="1" fieldPosition="0">
        <references count="2">
          <reference field="1" count="1">
            <x v="182"/>
          </reference>
          <reference field="2" count="1" selected="0">
            <x v="5"/>
          </reference>
        </references>
      </pivotArea>
    </format>
    <format dxfId="664">
      <pivotArea collapsedLevelsAreSubtotals="1" fieldPosition="0">
        <references count="2">
          <reference field="1" count="1">
            <x v="183"/>
          </reference>
          <reference field="2" count="1" selected="0">
            <x v="5"/>
          </reference>
        </references>
      </pivotArea>
    </format>
    <format dxfId="663">
      <pivotArea collapsedLevelsAreSubtotals="1" fieldPosition="0">
        <references count="2">
          <reference field="1" count="1">
            <x v="184"/>
          </reference>
          <reference field="2" count="1" selected="0">
            <x v="5"/>
          </reference>
        </references>
      </pivotArea>
    </format>
    <format dxfId="662">
      <pivotArea collapsedLevelsAreSubtotals="1" fieldPosition="0">
        <references count="1">
          <reference field="2" count="1">
            <x v="7"/>
          </reference>
        </references>
      </pivotArea>
    </format>
    <format dxfId="661">
      <pivotArea collapsedLevelsAreSubtotals="1" fieldPosition="0">
        <references count="2">
          <reference field="1" count="1">
            <x v="216"/>
          </reference>
          <reference field="2" count="1" selected="0">
            <x v="7"/>
          </reference>
        </references>
      </pivotArea>
    </format>
    <format dxfId="660">
      <pivotArea collapsedLevelsAreSubtotals="1" fieldPosition="0">
        <references count="2">
          <reference field="1" count="1">
            <x v="217"/>
          </reference>
          <reference field="2" count="1" selected="0">
            <x v="7"/>
          </reference>
        </references>
      </pivotArea>
    </format>
    <format dxfId="659">
      <pivotArea collapsedLevelsAreSubtotals="1" fieldPosition="0">
        <references count="2">
          <reference field="1" count="1">
            <x v="218"/>
          </reference>
          <reference field="2" count="1" selected="0">
            <x v="7"/>
          </reference>
        </references>
      </pivotArea>
    </format>
    <format dxfId="658">
      <pivotArea collapsedLevelsAreSubtotals="1" fieldPosition="0">
        <references count="2">
          <reference field="1" count="1">
            <x v="219"/>
          </reference>
          <reference field="2" count="1" selected="0">
            <x v="7"/>
          </reference>
        </references>
      </pivotArea>
    </format>
    <format dxfId="657">
      <pivotArea collapsedLevelsAreSubtotals="1" fieldPosition="0">
        <references count="2">
          <reference field="1" count="1">
            <x v="220"/>
          </reference>
          <reference field="2" count="1" selected="0">
            <x v="7"/>
          </reference>
        </references>
      </pivotArea>
    </format>
    <format dxfId="656">
      <pivotArea collapsedLevelsAreSubtotals="1" fieldPosition="0">
        <references count="2">
          <reference field="1" count="1">
            <x v="221"/>
          </reference>
          <reference field="2" count="1" selected="0">
            <x v="7"/>
          </reference>
        </references>
      </pivotArea>
    </format>
    <format dxfId="655">
      <pivotArea collapsedLevelsAreSubtotals="1" fieldPosition="0">
        <references count="2">
          <reference field="1" count="1">
            <x v="222"/>
          </reference>
          <reference field="2" count="1" selected="0">
            <x v="7"/>
          </reference>
        </references>
      </pivotArea>
    </format>
    <format dxfId="654">
      <pivotArea collapsedLevelsAreSubtotals="1" fieldPosition="0">
        <references count="2">
          <reference field="1" count="1">
            <x v="223"/>
          </reference>
          <reference field="2" count="1" selected="0">
            <x v="7"/>
          </reference>
        </references>
      </pivotArea>
    </format>
    <format dxfId="653">
      <pivotArea collapsedLevelsAreSubtotals="1" fieldPosition="0">
        <references count="2">
          <reference field="1" count="1">
            <x v="224"/>
          </reference>
          <reference field="2" count="1" selected="0">
            <x v="7"/>
          </reference>
        </references>
      </pivotArea>
    </format>
    <format dxfId="652">
      <pivotArea collapsedLevelsAreSubtotals="1" fieldPosition="0">
        <references count="2">
          <reference field="1" count="1">
            <x v="225"/>
          </reference>
          <reference field="2" count="1" selected="0">
            <x v="7"/>
          </reference>
        </references>
      </pivotArea>
    </format>
    <format dxfId="651">
      <pivotArea collapsedLevelsAreSubtotals="1" fieldPosition="0">
        <references count="2">
          <reference field="1" count="1">
            <x v="226"/>
          </reference>
          <reference field="2" count="1" selected="0">
            <x v="7"/>
          </reference>
        </references>
      </pivotArea>
    </format>
    <format dxfId="650">
      <pivotArea collapsedLevelsAreSubtotals="1" fieldPosition="0">
        <references count="2">
          <reference field="1" count="1">
            <x v="227"/>
          </reference>
          <reference field="2" count="1" selected="0">
            <x v="7"/>
          </reference>
        </references>
      </pivotArea>
    </format>
    <format dxfId="649">
      <pivotArea collapsedLevelsAreSubtotals="1" fieldPosition="0">
        <references count="2">
          <reference field="1" count="1">
            <x v="228"/>
          </reference>
          <reference field="2" count="1" selected="0">
            <x v="7"/>
          </reference>
        </references>
      </pivotArea>
    </format>
    <format dxfId="648">
      <pivotArea collapsedLevelsAreSubtotals="1" fieldPosition="0">
        <references count="2">
          <reference field="1" count="1">
            <x v="229"/>
          </reference>
          <reference field="2" count="1" selected="0">
            <x v="7"/>
          </reference>
        </references>
      </pivotArea>
    </format>
    <format dxfId="647">
      <pivotArea collapsedLevelsAreSubtotals="1" fieldPosition="0">
        <references count="2">
          <reference field="1" count="1">
            <x v="230"/>
          </reference>
          <reference field="2" count="1" selected="0">
            <x v="7"/>
          </reference>
        </references>
      </pivotArea>
    </format>
    <format dxfId="646">
      <pivotArea collapsedLevelsAreSubtotals="1" fieldPosition="0">
        <references count="2">
          <reference field="1" count="1">
            <x v="231"/>
          </reference>
          <reference field="2" count="1" selected="0">
            <x v="7"/>
          </reference>
        </references>
      </pivotArea>
    </format>
    <format dxfId="645">
      <pivotArea collapsedLevelsAreSubtotals="1" fieldPosition="0">
        <references count="2">
          <reference field="1" count="1">
            <x v="232"/>
          </reference>
          <reference field="2" count="1" selected="0">
            <x v="7"/>
          </reference>
        </references>
      </pivotArea>
    </format>
    <format dxfId="644">
      <pivotArea collapsedLevelsAreSubtotals="1" fieldPosition="0">
        <references count="2">
          <reference field="1" count="1">
            <x v="233"/>
          </reference>
          <reference field="2" count="1" selected="0">
            <x v="7"/>
          </reference>
        </references>
      </pivotArea>
    </format>
    <format dxfId="643">
      <pivotArea collapsedLevelsAreSubtotals="1" fieldPosition="0">
        <references count="2">
          <reference field="1" count="1">
            <x v="234"/>
          </reference>
          <reference field="2" count="1" selected="0">
            <x v="7"/>
          </reference>
        </references>
      </pivotArea>
    </format>
    <format dxfId="642">
      <pivotArea collapsedLevelsAreSubtotals="1" fieldPosition="0">
        <references count="2">
          <reference field="1" count="1">
            <x v="235"/>
          </reference>
          <reference field="2" count="1" selected="0">
            <x v="7"/>
          </reference>
        </references>
      </pivotArea>
    </format>
    <format dxfId="641">
      <pivotArea collapsedLevelsAreSubtotals="1" fieldPosition="0">
        <references count="2">
          <reference field="1" count="1">
            <x v="236"/>
          </reference>
          <reference field="2" count="1" selected="0">
            <x v="7"/>
          </reference>
        </references>
      </pivotArea>
    </format>
    <format dxfId="640">
      <pivotArea collapsedLevelsAreSubtotals="1" fieldPosition="0">
        <references count="2">
          <reference field="1" count="1">
            <x v="237"/>
          </reference>
          <reference field="2" count="1" selected="0">
            <x v="7"/>
          </reference>
        </references>
      </pivotArea>
    </format>
    <format dxfId="639">
      <pivotArea collapsedLevelsAreSubtotals="1" fieldPosition="0">
        <references count="2">
          <reference field="1" count="1">
            <x v="238"/>
          </reference>
          <reference field="2" count="1" selected="0">
            <x v="7"/>
          </reference>
        </references>
      </pivotArea>
    </format>
    <format dxfId="638">
      <pivotArea collapsedLevelsAreSubtotals="1" fieldPosition="0">
        <references count="2">
          <reference field="1" count="1">
            <x v="239"/>
          </reference>
          <reference field="2" count="1" selected="0">
            <x v="7"/>
          </reference>
        </references>
      </pivotArea>
    </format>
    <format dxfId="637">
      <pivotArea collapsedLevelsAreSubtotals="1" fieldPosition="0">
        <references count="2">
          <reference field="1" count="1">
            <x v="240"/>
          </reference>
          <reference field="2" count="1" selected="0">
            <x v="7"/>
          </reference>
        </references>
      </pivotArea>
    </format>
    <format dxfId="636">
      <pivotArea collapsedLevelsAreSubtotals="1" fieldPosition="0">
        <references count="2">
          <reference field="1" count="1">
            <x v="241"/>
          </reference>
          <reference field="2" count="1" selected="0">
            <x v="7"/>
          </reference>
        </references>
      </pivotArea>
    </format>
    <format dxfId="635">
      <pivotArea collapsedLevelsAreSubtotals="1" fieldPosition="0">
        <references count="2">
          <reference field="1" count="1">
            <x v="242"/>
          </reference>
          <reference field="2" count="1" selected="0">
            <x v="7"/>
          </reference>
        </references>
      </pivotArea>
    </format>
    <format dxfId="634">
      <pivotArea collapsedLevelsAreSubtotals="1" fieldPosition="0">
        <references count="2">
          <reference field="1" count="1">
            <x v="243"/>
          </reference>
          <reference field="2" count="1" selected="0">
            <x v="7"/>
          </reference>
        </references>
      </pivotArea>
    </format>
    <format dxfId="633">
      <pivotArea collapsedLevelsAreSubtotals="1" fieldPosition="0">
        <references count="2">
          <reference field="1" count="1">
            <x v="244"/>
          </reference>
          <reference field="2" count="1" selected="0">
            <x v="7"/>
          </reference>
        </references>
      </pivotArea>
    </format>
    <format dxfId="632">
      <pivotArea collapsedLevelsAreSubtotals="1" fieldPosition="0">
        <references count="2">
          <reference field="1" count="1">
            <x v="245"/>
          </reference>
          <reference field="2" count="1" selected="0">
            <x v="7"/>
          </reference>
        </references>
      </pivotArea>
    </format>
    <format dxfId="631">
      <pivotArea collapsedLevelsAreSubtotals="1" fieldPosition="0">
        <references count="1">
          <reference field="2" count="1">
            <x v="4"/>
          </reference>
        </references>
      </pivotArea>
    </format>
    <format dxfId="630">
      <pivotArea collapsedLevelsAreSubtotals="1" fieldPosition="0">
        <references count="2">
          <reference field="1" count="1">
            <x v="123"/>
          </reference>
          <reference field="2" count="1" selected="0">
            <x v="4"/>
          </reference>
        </references>
      </pivotArea>
    </format>
    <format dxfId="629">
      <pivotArea collapsedLevelsAreSubtotals="1" fieldPosition="0">
        <references count="2">
          <reference field="1" count="1">
            <x v="124"/>
          </reference>
          <reference field="2" count="1" selected="0">
            <x v="4"/>
          </reference>
        </references>
      </pivotArea>
    </format>
    <format dxfId="628">
      <pivotArea collapsedLevelsAreSubtotals="1" fieldPosition="0">
        <references count="2">
          <reference field="1" count="1">
            <x v="125"/>
          </reference>
          <reference field="2" count="1" selected="0">
            <x v="4"/>
          </reference>
        </references>
      </pivotArea>
    </format>
    <format dxfId="627">
      <pivotArea collapsedLevelsAreSubtotals="1" fieldPosition="0">
        <references count="2">
          <reference field="1" count="1">
            <x v="126"/>
          </reference>
          <reference field="2" count="1" selected="0">
            <x v="4"/>
          </reference>
        </references>
      </pivotArea>
    </format>
    <format dxfId="626">
      <pivotArea collapsedLevelsAreSubtotals="1" fieldPosition="0">
        <references count="2">
          <reference field="1" count="1">
            <x v="127"/>
          </reference>
          <reference field="2" count="1" selected="0">
            <x v="4"/>
          </reference>
        </references>
      </pivotArea>
    </format>
    <format dxfId="625">
      <pivotArea collapsedLevelsAreSubtotals="1" fieldPosition="0">
        <references count="2">
          <reference field="1" count="1">
            <x v="128"/>
          </reference>
          <reference field="2" count="1" selected="0">
            <x v="4"/>
          </reference>
        </references>
      </pivotArea>
    </format>
    <format dxfId="624">
      <pivotArea collapsedLevelsAreSubtotals="1" fieldPosition="0">
        <references count="2">
          <reference field="1" count="1">
            <x v="129"/>
          </reference>
          <reference field="2" count="1" selected="0">
            <x v="4"/>
          </reference>
        </references>
      </pivotArea>
    </format>
    <format dxfId="623">
      <pivotArea collapsedLevelsAreSubtotals="1" fieldPosition="0">
        <references count="2">
          <reference field="1" count="1">
            <x v="130"/>
          </reference>
          <reference field="2" count="1" selected="0">
            <x v="4"/>
          </reference>
        </references>
      </pivotArea>
    </format>
    <format dxfId="622">
      <pivotArea collapsedLevelsAreSubtotals="1" fieldPosition="0">
        <references count="2">
          <reference field="1" count="1">
            <x v="131"/>
          </reference>
          <reference field="2" count="1" selected="0">
            <x v="4"/>
          </reference>
        </references>
      </pivotArea>
    </format>
    <format dxfId="621">
      <pivotArea collapsedLevelsAreSubtotals="1" fieldPosition="0">
        <references count="2">
          <reference field="1" count="1">
            <x v="132"/>
          </reference>
          <reference field="2" count="1" selected="0">
            <x v="4"/>
          </reference>
        </references>
      </pivotArea>
    </format>
    <format dxfId="620">
      <pivotArea collapsedLevelsAreSubtotals="1" fieldPosition="0">
        <references count="2">
          <reference field="1" count="1">
            <x v="133"/>
          </reference>
          <reference field="2" count="1" selected="0">
            <x v="4"/>
          </reference>
        </references>
      </pivotArea>
    </format>
    <format dxfId="619">
      <pivotArea collapsedLevelsAreSubtotals="1" fieldPosition="0">
        <references count="2">
          <reference field="1" count="1">
            <x v="134"/>
          </reference>
          <reference field="2" count="1" selected="0">
            <x v="4"/>
          </reference>
        </references>
      </pivotArea>
    </format>
    <format dxfId="618">
      <pivotArea collapsedLevelsAreSubtotals="1" fieldPosition="0">
        <references count="2">
          <reference field="1" count="1">
            <x v="135"/>
          </reference>
          <reference field="2" count="1" selected="0">
            <x v="4"/>
          </reference>
        </references>
      </pivotArea>
    </format>
    <format dxfId="617">
      <pivotArea collapsedLevelsAreSubtotals="1" fieldPosition="0">
        <references count="2">
          <reference field="1" count="1">
            <x v="136"/>
          </reference>
          <reference field="2" count="1" selected="0">
            <x v="4"/>
          </reference>
        </references>
      </pivotArea>
    </format>
    <format dxfId="616">
      <pivotArea collapsedLevelsAreSubtotals="1" fieldPosition="0">
        <references count="2">
          <reference field="1" count="1">
            <x v="137"/>
          </reference>
          <reference field="2" count="1" selected="0">
            <x v="4"/>
          </reference>
        </references>
      </pivotArea>
    </format>
    <format dxfId="615">
      <pivotArea collapsedLevelsAreSubtotals="1" fieldPosition="0">
        <references count="2">
          <reference field="1" count="1">
            <x v="138"/>
          </reference>
          <reference field="2" count="1" selected="0">
            <x v="4"/>
          </reference>
        </references>
      </pivotArea>
    </format>
    <format dxfId="614">
      <pivotArea collapsedLevelsAreSubtotals="1" fieldPosition="0">
        <references count="2">
          <reference field="1" count="1">
            <x v="139"/>
          </reference>
          <reference field="2" count="1" selected="0">
            <x v="4"/>
          </reference>
        </references>
      </pivotArea>
    </format>
    <format dxfId="613">
      <pivotArea collapsedLevelsAreSubtotals="1" fieldPosition="0">
        <references count="2">
          <reference field="1" count="1">
            <x v="140"/>
          </reference>
          <reference field="2" count="1" selected="0">
            <x v="4"/>
          </reference>
        </references>
      </pivotArea>
    </format>
    <format dxfId="612">
      <pivotArea collapsedLevelsAreSubtotals="1" fieldPosition="0">
        <references count="2">
          <reference field="1" count="1">
            <x v="141"/>
          </reference>
          <reference field="2" count="1" selected="0">
            <x v="4"/>
          </reference>
        </references>
      </pivotArea>
    </format>
    <format dxfId="611">
      <pivotArea collapsedLevelsAreSubtotals="1" fieldPosition="0">
        <references count="2">
          <reference field="1" count="1">
            <x v="142"/>
          </reference>
          <reference field="2" count="1" selected="0">
            <x v="4"/>
          </reference>
        </references>
      </pivotArea>
    </format>
    <format dxfId="610">
      <pivotArea collapsedLevelsAreSubtotals="1" fieldPosition="0">
        <references count="2">
          <reference field="1" count="1">
            <x v="143"/>
          </reference>
          <reference field="2" count="1" selected="0">
            <x v="4"/>
          </reference>
        </references>
      </pivotArea>
    </format>
    <format dxfId="609">
      <pivotArea collapsedLevelsAreSubtotals="1" fieldPosition="0">
        <references count="2">
          <reference field="1" count="1">
            <x v="144"/>
          </reference>
          <reference field="2" count="1" selected="0">
            <x v="4"/>
          </reference>
        </references>
      </pivotArea>
    </format>
    <format dxfId="608">
      <pivotArea collapsedLevelsAreSubtotals="1" fieldPosition="0">
        <references count="2">
          <reference field="1" count="1">
            <x v="145"/>
          </reference>
          <reference field="2" count="1" selected="0">
            <x v="4"/>
          </reference>
        </references>
      </pivotArea>
    </format>
    <format dxfId="607">
      <pivotArea collapsedLevelsAreSubtotals="1" fieldPosition="0">
        <references count="2">
          <reference field="1" count="1">
            <x v="146"/>
          </reference>
          <reference field="2" count="1" selected="0">
            <x v="4"/>
          </reference>
        </references>
      </pivotArea>
    </format>
    <format dxfId="606">
      <pivotArea collapsedLevelsAreSubtotals="1" fieldPosition="0">
        <references count="2">
          <reference field="1" count="1">
            <x v="147"/>
          </reference>
          <reference field="2" count="1" selected="0">
            <x v="4"/>
          </reference>
        </references>
      </pivotArea>
    </format>
    <format dxfId="605">
      <pivotArea collapsedLevelsAreSubtotals="1" fieldPosition="0">
        <references count="2">
          <reference field="1" count="1">
            <x v="148"/>
          </reference>
          <reference field="2" count="1" selected="0">
            <x v="4"/>
          </reference>
        </references>
      </pivotArea>
    </format>
    <format dxfId="604">
      <pivotArea collapsedLevelsAreSubtotals="1" fieldPosition="0">
        <references count="2">
          <reference field="1" count="1">
            <x v="149"/>
          </reference>
          <reference field="2" count="1" selected="0">
            <x v="4"/>
          </reference>
        </references>
      </pivotArea>
    </format>
    <format dxfId="603">
      <pivotArea collapsedLevelsAreSubtotals="1" fieldPosition="0">
        <references count="2">
          <reference field="1" count="1">
            <x v="150"/>
          </reference>
          <reference field="2" count="1" selected="0">
            <x v="4"/>
          </reference>
        </references>
      </pivotArea>
    </format>
    <format dxfId="602">
      <pivotArea collapsedLevelsAreSubtotals="1" fieldPosition="0">
        <references count="2">
          <reference field="1" count="1">
            <x v="151"/>
          </reference>
          <reference field="2" count="1" selected="0">
            <x v="4"/>
          </reference>
        </references>
      </pivotArea>
    </format>
    <format dxfId="601">
      <pivotArea collapsedLevelsAreSubtotals="1" fieldPosition="0">
        <references count="2">
          <reference field="1" count="1">
            <x v="152"/>
          </reference>
          <reference field="2" count="1" selected="0">
            <x v="4"/>
          </reference>
        </references>
      </pivotArea>
    </format>
    <format dxfId="600">
      <pivotArea collapsedLevelsAreSubtotals="1" fieldPosition="0">
        <references count="2">
          <reference field="1" count="1">
            <x v="153"/>
          </reference>
          <reference field="2" count="1" selected="0">
            <x v="4"/>
          </reference>
        </references>
      </pivotArea>
    </format>
    <format dxfId="599">
      <pivotArea collapsedLevelsAreSubtotals="1" fieldPosition="0">
        <references count="1">
          <reference field="2" count="1">
            <x v="2"/>
          </reference>
        </references>
      </pivotArea>
    </format>
    <format dxfId="598">
      <pivotArea collapsedLevelsAreSubtotals="1" fieldPosition="0">
        <references count="2">
          <reference field="1" count="1">
            <x v="62"/>
          </reference>
          <reference field="2" count="1" selected="0">
            <x v="2"/>
          </reference>
        </references>
      </pivotArea>
    </format>
    <format dxfId="597">
      <pivotArea collapsedLevelsAreSubtotals="1" fieldPosition="0">
        <references count="2">
          <reference field="1" count="1">
            <x v="63"/>
          </reference>
          <reference field="2" count="1" selected="0">
            <x v="2"/>
          </reference>
        </references>
      </pivotArea>
    </format>
    <format dxfId="596">
      <pivotArea collapsedLevelsAreSubtotals="1" fieldPosition="0">
        <references count="2">
          <reference field="1" count="1">
            <x v="64"/>
          </reference>
          <reference field="2" count="1" selected="0">
            <x v="2"/>
          </reference>
        </references>
      </pivotArea>
    </format>
    <format dxfId="595">
      <pivotArea collapsedLevelsAreSubtotals="1" fieldPosition="0">
        <references count="2">
          <reference field="1" count="1">
            <x v="65"/>
          </reference>
          <reference field="2" count="1" selected="0">
            <x v="2"/>
          </reference>
        </references>
      </pivotArea>
    </format>
    <format dxfId="594">
      <pivotArea collapsedLevelsAreSubtotals="1" fieldPosition="0">
        <references count="2">
          <reference field="1" count="1">
            <x v="66"/>
          </reference>
          <reference field="2" count="1" selected="0">
            <x v="2"/>
          </reference>
        </references>
      </pivotArea>
    </format>
    <format dxfId="593">
      <pivotArea collapsedLevelsAreSubtotals="1" fieldPosition="0">
        <references count="2">
          <reference field="1" count="1">
            <x v="67"/>
          </reference>
          <reference field="2" count="1" selected="0">
            <x v="2"/>
          </reference>
        </references>
      </pivotArea>
    </format>
    <format dxfId="592">
      <pivotArea collapsedLevelsAreSubtotals="1" fieldPosition="0">
        <references count="2">
          <reference field="1" count="1">
            <x v="68"/>
          </reference>
          <reference field="2" count="1" selected="0">
            <x v="2"/>
          </reference>
        </references>
      </pivotArea>
    </format>
    <format dxfId="591">
      <pivotArea collapsedLevelsAreSubtotals="1" fieldPosition="0">
        <references count="2">
          <reference field="1" count="1">
            <x v="69"/>
          </reference>
          <reference field="2" count="1" selected="0">
            <x v="2"/>
          </reference>
        </references>
      </pivotArea>
    </format>
    <format dxfId="590">
      <pivotArea collapsedLevelsAreSubtotals="1" fieldPosition="0">
        <references count="2">
          <reference field="1" count="1">
            <x v="70"/>
          </reference>
          <reference field="2" count="1" selected="0">
            <x v="2"/>
          </reference>
        </references>
      </pivotArea>
    </format>
    <format dxfId="589">
      <pivotArea collapsedLevelsAreSubtotals="1" fieldPosition="0">
        <references count="2">
          <reference field="1" count="1">
            <x v="71"/>
          </reference>
          <reference field="2" count="1" selected="0">
            <x v="2"/>
          </reference>
        </references>
      </pivotArea>
    </format>
    <format dxfId="588">
      <pivotArea collapsedLevelsAreSubtotals="1" fieldPosition="0">
        <references count="2">
          <reference field="1" count="1">
            <x v="72"/>
          </reference>
          <reference field="2" count="1" selected="0">
            <x v="2"/>
          </reference>
        </references>
      </pivotArea>
    </format>
    <format dxfId="587">
      <pivotArea collapsedLevelsAreSubtotals="1" fieldPosition="0">
        <references count="2">
          <reference field="1" count="1">
            <x v="73"/>
          </reference>
          <reference field="2" count="1" selected="0">
            <x v="2"/>
          </reference>
        </references>
      </pivotArea>
    </format>
    <format dxfId="586">
      <pivotArea collapsedLevelsAreSubtotals="1" fieldPosition="0">
        <references count="2">
          <reference field="1" count="1">
            <x v="74"/>
          </reference>
          <reference field="2" count="1" selected="0">
            <x v="2"/>
          </reference>
        </references>
      </pivotArea>
    </format>
    <format dxfId="585">
      <pivotArea collapsedLevelsAreSubtotals="1" fieldPosition="0">
        <references count="2">
          <reference field="1" count="1">
            <x v="75"/>
          </reference>
          <reference field="2" count="1" selected="0">
            <x v="2"/>
          </reference>
        </references>
      </pivotArea>
    </format>
    <format dxfId="584">
      <pivotArea collapsedLevelsAreSubtotals="1" fieldPosition="0">
        <references count="2">
          <reference field="1" count="1">
            <x v="76"/>
          </reference>
          <reference field="2" count="1" selected="0">
            <x v="2"/>
          </reference>
        </references>
      </pivotArea>
    </format>
    <format dxfId="583">
      <pivotArea collapsedLevelsAreSubtotals="1" fieldPosition="0">
        <references count="2">
          <reference field="1" count="1">
            <x v="77"/>
          </reference>
          <reference field="2" count="1" selected="0">
            <x v="2"/>
          </reference>
        </references>
      </pivotArea>
    </format>
    <format dxfId="582">
      <pivotArea collapsedLevelsAreSubtotals="1" fieldPosition="0">
        <references count="2">
          <reference field="1" count="1">
            <x v="78"/>
          </reference>
          <reference field="2" count="1" selected="0">
            <x v="2"/>
          </reference>
        </references>
      </pivotArea>
    </format>
    <format dxfId="581">
      <pivotArea collapsedLevelsAreSubtotals="1" fieldPosition="0">
        <references count="2">
          <reference field="1" count="1">
            <x v="79"/>
          </reference>
          <reference field="2" count="1" selected="0">
            <x v="2"/>
          </reference>
        </references>
      </pivotArea>
    </format>
    <format dxfId="580">
      <pivotArea collapsedLevelsAreSubtotals="1" fieldPosition="0">
        <references count="2">
          <reference field="1" count="1">
            <x v="80"/>
          </reference>
          <reference field="2" count="1" selected="0">
            <x v="2"/>
          </reference>
        </references>
      </pivotArea>
    </format>
    <format dxfId="579">
      <pivotArea collapsedLevelsAreSubtotals="1" fieldPosition="0">
        <references count="2">
          <reference field="1" count="1">
            <x v="81"/>
          </reference>
          <reference field="2" count="1" selected="0">
            <x v="2"/>
          </reference>
        </references>
      </pivotArea>
    </format>
    <format dxfId="578">
      <pivotArea collapsedLevelsAreSubtotals="1" fieldPosition="0">
        <references count="2">
          <reference field="1" count="1">
            <x v="82"/>
          </reference>
          <reference field="2" count="1" selected="0">
            <x v="2"/>
          </reference>
        </references>
      </pivotArea>
    </format>
    <format dxfId="577">
      <pivotArea collapsedLevelsAreSubtotals="1" fieldPosition="0">
        <references count="2">
          <reference field="1" count="1">
            <x v="83"/>
          </reference>
          <reference field="2" count="1" selected="0">
            <x v="2"/>
          </reference>
        </references>
      </pivotArea>
    </format>
    <format dxfId="576">
      <pivotArea collapsedLevelsAreSubtotals="1" fieldPosition="0">
        <references count="2">
          <reference field="1" count="1">
            <x v="84"/>
          </reference>
          <reference field="2" count="1" selected="0">
            <x v="2"/>
          </reference>
        </references>
      </pivotArea>
    </format>
    <format dxfId="575">
      <pivotArea collapsedLevelsAreSubtotals="1" fieldPosition="0">
        <references count="2">
          <reference field="1" count="1">
            <x v="85"/>
          </reference>
          <reference field="2" count="1" selected="0">
            <x v="2"/>
          </reference>
        </references>
      </pivotArea>
    </format>
    <format dxfId="574">
      <pivotArea collapsedLevelsAreSubtotals="1" fieldPosition="0">
        <references count="2">
          <reference field="1" count="1">
            <x v="86"/>
          </reference>
          <reference field="2" count="1" selected="0">
            <x v="2"/>
          </reference>
        </references>
      </pivotArea>
    </format>
    <format dxfId="573">
      <pivotArea collapsedLevelsAreSubtotals="1" fieldPosition="0">
        <references count="2">
          <reference field="1" count="1">
            <x v="87"/>
          </reference>
          <reference field="2" count="1" selected="0">
            <x v="2"/>
          </reference>
        </references>
      </pivotArea>
    </format>
    <format dxfId="572">
      <pivotArea collapsedLevelsAreSubtotals="1" fieldPosition="0">
        <references count="2">
          <reference field="1" count="1">
            <x v="88"/>
          </reference>
          <reference field="2" count="1" selected="0">
            <x v="2"/>
          </reference>
        </references>
      </pivotArea>
    </format>
    <format dxfId="571">
      <pivotArea collapsedLevelsAreSubtotals="1" fieldPosition="0">
        <references count="2">
          <reference field="1" count="1">
            <x v="89"/>
          </reference>
          <reference field="2" count="1" selected="0">
            <x v="2"/>
          </reference>
        </references>
      </pivotArea>
    </format>
    <format dxfId="570">
      <pivotArea collapsedLevelsAreSubtotals="1" fieldPosition="0">
        <references count="2">
          <reference field="1" count="1">
            <x v="90"/>
          </reference>
          <reference field="2" count="1" selected="0">
            <x v="2"/>
          </reference>
        </references>
      </pivotArea>
    </format>
    <format dxfId="569">
      <pivotArea collapsedLevelsAreSubtotals="1" fieldPosition="0">
        <references count="2">
          <reference field="1" count="1">
            <x v="91"/>
          </reference>
          <reference field="2" count="1" selected="0">
            <x v="2"/>
          </reference>
        </references>
      </pivotArea>
    </format>
    <format dxfId="568">
      <pivotArea collapsedLevelsAreSubtotals="1" fieldPosition="0">
        <references count="1">
          <reference field="2" count="1">
            <x v="3"/>
          </reference>
        </references>
      </pivotArea>
    </format>
    <format dxfId="567">
      <pivotArea collapsedLevelsAreSubtotals="1" fieldPosition="0">
        <references count="2">
          <reference field="1" count="1">
            <x v="92"/>
          </reference>
          <reference field="2" count="1" selected="0">
            <x v="3"/>
          </reference>
        </references>
      </pivotArea>
    </format>
    <format dxfId="566">
      <pivotArea collapsedLevelsAreSubtotals="1" fieldPosition="0">
        <references count="2">
          <reference field="1" count="1">
            <x v="93"/>
          </reference>
          <reference field="2" count="1" selected="0">
            <x v="3"/>
          </reference>
        </references>
      </pivotArea>
    </format>
    <format dxfId="565">
      <pivotArea collapsedLevelsAreSubtotals="1" fieldPosition="0">
        <references count="2">
          <reference field="1" count="1">
            <x v="94"/>
          </reference>
          <reference field="2" count="1" selected="0">
            <x v="3"/>
          </reference>
        </references>
      </pivotArea>
    </format>
    <format dxfId="564">
      <pivotArea collapsedLevelsAreSubtotals="1" fieldPosition="0">
        <references count="2">
          <reference field="1" count="1">
            <x v="95"/>
          </reference>
          <reference field="2" count="1" selected="0">
            <x v="3"/>
          </reference>
        </references>
      </pivotArea>
    </format>
    <format dxfId="563">
      <pivotArea collapsedLevelsAreSubtotals="1" fieldPosition="0">
        <references count="2">
          <reference field="1" count="1">
            <x v="96"/>
          </reference>
          <reference field="2" count="1" selected="0">
            <x v="3"/>
          </reference>
        </references>
      </pivotArea>
    </format>
    <format dxfId="562">
      <pivotArea collapsedLevelsAreSubtotals="1" fieldPosition="0">
        <references count="2">
          <reference field="1" count="1">
            <x v="97"/>
          </reference>
          <reference field="2" count="1" selected="0">
            <x v="3"/>
          </reference>
        </references>
      </pivotArea>
    </format>
    <format dxfId="561">
      <pivotArea collapsedLevelsAreSubtotals="1" fieldPosition="0">
        <references count="2">
          <reference field="1" count="1">
            <x v="98"/>
          </reference>
          <reference field="2" count="1" selected="0">
            <x v="3"/>
          </reference>
        </references>
      </pivotArea>
    </format>
    <format dxfId="560">
      <pivotArea collapsedLevelsAreSubtotals="1" fieldPosition="0">
        <references count="2">
          <reference field="1" count="1">
            <x v="99"/>
          </reference>
          <reference field="2" count="1" selected="0">
            <x v="3"/>
          </reference>
        </references>
      </pivotArea>
    </format>
    <format dxfId="559">
      <pivotArea collapsedLevelsAreSubtotals="1" fieldPosition="0">
        <references count="2">
          <reference field="1" count="1">
            <x v="100"/>
          </reference>
          <reference field="2" count="1" selected="0">
            <x v="3"/>
          </reference>
        </references>
      </pivotArea>
    </format>
    <format dxfId="558">
      <pivotArea collapsedLevelsAreSubtotals="1" fieldPosition="0">
        <references count="2">
          <reference field="1" count="1">
            <x v="101"/>
          </reference>
          <reference field="2" count="1" selected="0">
            <x v="3"/>
          </reference>
        </references>
      </pivotArea>
    </format>
    <format dxfId="557">
      <pivotArea collapsedLevelsAreSubtotals="1" fieldPosition="0">
        <references count="2">
          <reference field="1" count="1">
            <x v="102"/>
          </reference>
          <reference field="2" count="1" selected="0">
            <x v="3"/>
          </reference>
        </references>
      </pivotArea>
    </format>
    <format dxfId="556">
      <pivotArea collapsedLevelsAreSubtotals="1" fieldPosition="0">
        <references count="2">
          <reference field="1" count="1">
            <x v="103"/>
          </reference>
          <reference field="2" count="1" selected="0">
            <x v="3"/>
          </reference>
        </references>
      </pivotArea>
    </format>
    <format dxfId="555">
      <pivotArea collapsedLevelsAreSubtotals="1" fieldPosition="0">
        <references count="2">
          <reference field="1" count="1">
            <x v="104"/>
          </reference>
          <reference field="2" count="1" selected="0">
            <x v="3"/>
          </reference>
        </references>
      </pivotArea>
    </format>
    <format dxfId="554">
      <pivotArea collapsedLevelsAreSubtotals="1" fieldPosition="0">
        <references count="2">
          <reference field="1" count="1">
            <x v="105"/>
          </reference>
          <reference field="2" count="1" selected="0">
            <x v="3"/>
          </reference>
        </references>
      </pivotArea>
    </format>
    <format dxfId="553">
      <pivotArea collapsedLevelsAreSubtotals="1" fieldPosition="0">
        <references count="2">
          <reference field="1" count="1">
            <x v="106"/>
          </reference>
          <reference field="2" count="1" selected="0">
            <x v="3"/>
          </reference>
        </references>
      </pivotArea>
    </format>
    <format dxfId="552">
      <pivotArea collapsedLevelsAreSubtotals="1" fieldPosition="0">
        <references count="2">
          <reference field="1" count="1">
            <x v="107"/>
          </reference>
          <reference field="2" count="1" selected="0">
            <x v="3"/>
          </reference>
        </references>
      </pivotArea>
    </format>
    <format dxfId="551">
      <pivotArea collapsedLevelsAreSubtotals="1" fieldPosition="0">
        <references count="2">
          <reference field="1" count="1">
            <x v="108"/>
          </reference>
          <reference field="2" count="1" selected="0">
            <x v="3"/>
          </reference>
        </references>
      </pivotArea>
    </format>
    <format dxfId="550">
      <pivotArea collapsedLevelsAreSubtotals="1" fieldPosition="0">
        <references count="2">
          <reference field="1" count="1">
            <x v="109"/>
          </reference>
          <reference field="2" count="1" selected="0">
            <x v="3"/>
          </reference>
        </references>
      </pivotArea>
    </format>
    <format dxfId="549">
      <pivotArea collapsedLevelsAreSubtotals="1" fieldPosition="0">
        <references count="2">
          <reference field="1" count="1">
            <x v="110"/>
          </reference>
          <reference field="2" count="1" selected="0">
            <x v="3"/>
          </reference>
        </references>
      </pivotArea>
    </format>
    <format dxfId="548">
      <pivotArea collapsedLevelsAreSubtotals="1" fieldPosition="0">
        <references count="2">
          <reference field="1" count="1">
            <x v="111"/>
          </reference>
          <reference field="2" count="1" selected="0">
            <x v="3"/>
          </reference>
        </references>
      </pivotArea>
    </format>
    <format dxfId="547">
      <pivotArea collapsedLevelsAreSubtotals="1" fieldPosition="0">
        <references count="2">
          <reference field="1" count="1">
            <x v="112"/>
          </reference>
          <reference field="2" count="1" selected="0">
            <x v="3"/>
          </reference>
        </references>
      </pivotArea>
    </format>
    <format dxfId="546">
      <pivotArea collapsedLevelsAreSubtotals="1" fieldPosition="0">
        <references count="2">
          <reference field="1" count="1">
            <x v="113"/>
          </reference>
          <reference field="2" count="1" selected="0">
            <x v="3"/>
          </reference>
        </references>
      </pivotArea>
    </format>
    <format dxfId="545">
      <pivotArea collapsedLevelsAreSubtotals="1" fieldPosition="0">
        <references count="2">
          <reference field="1" count="1">
            <x v="114"/>
          </reference>
          <reference field="2" count="1" selected="0">
            <x v="3"/>
          </reference>
        </references>
      </pivotArea>
    </format>
    <format dxfId="544">
      <pivotArea collapsedLevelsAreSubtotals="1" fieldPosition="0">
        <references count="2">
          <reference field="1" count="1">
            <x v="115"/>
          </reference>
          <reference field="2" count="1" selected="0">
            <x v="3"/>
          </reference>
        </references>
      </pivotArea>
    </format>
    <format dxfId="543">
      <pivotArea collapsedLevelsAreSubtotals="1" fieldPosition="0">
        <references count="2">
          <reference field="1" count="1">
            <x v="116"/>
          </reference>
          <reference field="2" count="1" selected="0">
            <x v="3"/>
          </reference>
        </references>
      </pivotArea>
    </format>
    <format dxfId="542">
      <pivotArea collapsedLevelsAreSubtotals="1" fieldPosition="0">
        <references count="2">
          <reference field="1" count="1">
            <x v="117"/>
          </reference>
          <reference field="2" count="1" selected="0">
            <x v="3"/>
          </reference>
        </references>
      </pivotArea>
    </format>
    <format dxfId="541">
      <pivotArea collapsedLevelsAreSubtotals="1" fieldPosition="0">
        <references count="2">
          <reference field="1" count="1">
            <x v="118"/>
          </reference>
          <reference field="2" count="1" selected="0">
            <x v="3"/>
          </reference>
        </references>
      </pivotArea>
    </format>
    <format dxfId="540">
      <pivotArea collapsedLevelsAreSubtotals="1" fieldPosition="0">
        <references count="2">
          <reference field="1" count="1">
            <x v="119"/>
          </reference>
          <reference field="2" count="1" selected="0">
            <x v="3"/>
          </reference>
        </references>
      </pivotArea>
    </format>
    <format dxfId="539">
      <pivotArea collapsedLevelsAreSubtotals="1" fieldPosition="0">
        <references count="2">
          <reference field="1" count="1">
            <x v="120"/>
          </reference>
          <reference field="2" count="1" selected="0">
            <x v="3"/>
          </reference>
        </references>
      </pivotArea>
    </format>
    <format dxfId="538">
      <pivotArea collapsedLevelsAreSubtotals="1" fieldPosition="0">
        <references count="2">
          <reference field="1" count="1">
            <x v="121"/>
          </reference>
          <reference field="2" count="1" selected="0">
            <x v="3"/>
          </reference>
        </references>
      </pivotArea>
    </format>
    <format dxfId="537">
      <pivotArea collapsedLevelsAreSubtotals="1" fieldPosition="0">
        <references count="2">
          <reference field="1" count="1">
            <x v="122"/>
          </reference>
          <reference field="2" count="1" selected="0">
            <x v="3"/>
          </reference>
        </references>
      </pivotArea>
    </format>
    <format dxfId="536">
      <pivotArea collapsedLevelsAreSubtotals="1" fieldPosition="0">
        <references count="1">
          <reference field="2" count="1">
            <x v="0"/>
          </reference>
        </references>
      </pivotArea>
    </format>
    <format dxfId="535">
      <pivotArea collapsedLevelsAreSubtotals="1" fieldPosition="0">
        <references count="2">
          <reference field="1" count="1">
            <x v="0"/>
          </reference>
          <reference field="2" count="1" selected="0">
            <x v="0"/>
          </reference>
        </references>
      </pivotArea>
    </format>
    <format dxfId="534">
      <pivotArea collapsedLevelsAreSubtotals="1" fieldPosition="0">
        <references count="2">
          <reference field="1" count="1">
            <x v="1"/>
          </reference>
          <reference field="2" count="1" selected="0">
            <x v="0"/>
          </reference>
        </references>
      </pivotArea>
    </format>
    <format dxfId="533">
      <pivotArea collapsedLevelsAreSubtotals="1" fieldPosition="0">
        <references count="2">
          <reference field="1" count="1">
            <x v="2"/>
          </reference>
          <reference field="2" count="1" selected="0">
            <x v="0"/>
          </reference>
        </references>
      </pivotArea>
    </format>
    <format dxfId="532">
      <pivotArea collapsedLevelsAreSubtotals="1" fieldPosition="0">
        <references count="2">
          <reference field="1" count="1">
            <x v="3"/>
          </reference>
          <reference field="2" count="1" selected="0">
            <x v="0"/>
          </reference>
        </references>
      </pivotArea>
    </format>
    <format dxfId="531">
      <pivotArea collapsedLevelsAreSubtotals="1" fieldPosition="0">
        <references count="2">
          <reference field="1" count="1">
            <x v="4"/>
          </reference>
          <reference field="2" count="1" selected="0">
            <x v="0"/>
          </reference>
        </references>
      </pivotArea>
    </format>
    <format dxfId="530">
      <pivotArea collapsedLevelsAreSubtotals="1" fieldPosition="0">
        <references count="2">
          <reference field="1" count="1">
            <x v="5"/>
          </reference>
          <reference field="2" count="1" selected="0">
            <x v="0"/>
          </reference>
        </references>
      </pivotArea>
    </format>
    <format dxfId="529">
      <pivotArea collapsedLevelsAreSubtotals="1" fieldPosition="0">
        <references count="2">
          <reference field="1" count="1">
            <x v="6"/>
          </reference>
          <reference field="2" count="1" selected="0">
            <x v="0"/>
          </reference>
        </references>
      </pivotArea>
    </format>
    <format dxfId="528">
      <pivotArea collapsedLevelsAreSubtotals="1" fieldPosition="0">
        <references count="2">
          <reference field="1" count="1">
            <x v="7"/>
          </reference>
          <reference field="2" count="1" selected="0">
            <x v="0"/>
          </reference>
        </references>
      </pivotArea>
    </format>
    <format dxfId="527">
      <pivotArea collapsedLevelsAreSubtotals="1" fieldPosition="0">
        <references count="2">
          <reference field="1" count="1">
            <x v="8"/>
          </reference>
          <reference field="2" count="1" selected="0">
            <x v="0"/>
          </reference>
        </references>
      </pivotArea>
    </format>
    <format dxfId="526">
      <pivotArea collapsedLevelsAreSubtotals="1" fieldPosition="0">
        <references count="2">
          <reference field="1" count="1">
            <x v="9"/>
          </reference>
          <reference field="2" count="1" selected="0">
            <x v="0"/>
          </reference>
        </references>
      </pivotArea>
    </format>
    <format dxfId="525">
      <pivotArea collapsedLevelsAreSubtotals="1" fieldPosition="0">
        <references count="2">
          <reference field="1" count="1">
            <x v="10"/>
          </reference>
          <reference field="2" count="1" selected="0">
            <x v="0"/>
          </reference>
        </references>
      </pivotArea>
    </format>
    <format dxfId="524">
      <pivotArea collapsedLevelsAreSubtotals="1" fieldPosition="0">
        <references count="2">
          <reference field="1" count="1">
            <x v="11"/>
          </reference>
          <reference field="2" count="1" selected="0">
            <x v="0"/>
          </reference>
        </references>
      </pivotArea>
    </format>
    <format dxfId="523">
      <pivotArea collapsedLevelsAreSubtotals="1" fieldPosition="0">
        <references count="2">
          <reference field="1" count="1">
            <x v="12"/>
          </reference>
          <reference field="2" count="1" selected="0">
            <x v="0"/>
          </reference>
        </references>
      </pivotArea>
    </format>
    <format dxfId="522">
      <pivotArea collapsedLevelsAreSubtotals="1" fieldPosition="0">
        <references count="2">
          <reference field="1" count="1">
            <x v="13"/>
          </reference>
          <reference field="2" count="1" selected="0">
            <x v="0"/>
          </reference>
        </references>
      </pivotArea>
    </format>
    <format dxfId="521">
      <pivotArea collapsedLevelsAreSubtotals="1" fieldPosition="0">
        <references count="2">
          <reference field="1" count="1">
            <x v="14"/>
          </reference>
          <reference field="2" count="1" selected="0">
            <x v="0"/>
          </reference>
        </references>
      </pivotArea>
    </format>
    <format dxfId="520">
      <pivotArea collapsedLevelsAreSubtotals="1" fieldPosition="0">
        <references count="2">
          <reference field="1" count="1">
            <x v="15"/>
          </reference>
          <reference field="2" count="1" selected="0">
            <x v="0"/>
          </reference>
        </references>
      </pivotArea>
    </format>
    <format dxfId="519">
      <pivotArea collapsedLevelsAreSubtotals="1" fieldPosition="0">
        <references count="2">
          <reference field="1" count="1">
            <x v="16"/>
          </reference>
          <reference field="2" count="1" selected="0">
            <x v="0"/>
          </reference>
        </references>
      </pivotArea>
    </format>
    <format dxfId="518">
      <pivotArea collapsedLevelsAreSubtotals="1" fieldPosition="0">
        <references count="2">
          <reference field="1" count="1">
            <x v="17"/>
          </reference>
          <reference field="2" count="1" selected="0">
            <x v="0"/>
          </reference>
        </references>
      </pivotArea>
    </format>
    <format dxfId="517">
      <pivotArea collapsedLevelsAreSubtotals="1" fieldPosition="0">
        <references count="2">
          <reference field="1" count="1">
            <x v="18"/>
          </reference>
          <reference field="2" count="1" selected="0">
            <x v="0"/>
          </reference>
        </references>
      </pivotArea>
    </format>
    <format dxfId="516">
      <pivotArea collapsedLevelsAreSubtotals="1" fieldPosition="0">
        <references count="2">
          <reference field="1" count="1">
            <x v="19"/>
          </reference>
          <reference field="2" count="1" selected="0">
            <x v="0"/>
          </reference>
        </references>
      </pivotArea>
    </format>
    <format dxfId="515">
      <pivotArea collapsedLevelsAreSubtotals="1" fieldPosition="0">
        <references count="2">
          <reference field="1" count="1">
            <x v="20"/>
          </reference>
          <reference field="2" count="1" selected="0">
            <x v="0"/>
          </reference>
        </references>
      </pivotArea>
    </format>
    <format dxfId="514">
      <pivotArea collapsedLevelsAreSubtotals="1" fieldPosition="0">
        <references count="2">
          <reference field="1" count="1">
            <x v="21"/>
          </reference>
          <reference field="2" count="1" selected="0">
            <x v="0"/>
          </reference>
        </references>
      </pivotArea>
    </format>
    <format dxfId="513">
      <pivotArea collapsedLevelsAreSubtotals="1" fieldPosition="0">
        <references count="2">
          <reference field="1" count="1">
            <x v="22"/>
          </reference>
          <reference field="2" count="1" selected="0">
            <x v="0"/>
          </reference>
        </references>
      </pivotArea>
    </format>
    <format dxfId="512">
      <pivotArea collapsedLevelsAreSubtotals="1" fieldPosition="0">
        <references count="2">
          <reference field="1" count="1">
            <x v="23"/>
          </reference>
          <reference field="2" count="1" selected="0">
            <x v="0"/>
          </reference>
        </references>
      </pivotArea>
    </format>
    <format dxfId="511">
      <pivotArea collapsedLevelsAreSubtotals="1" fieldPosition="0">
        <references count="2">
          <reference field="1" count="1">
            <x v="24"/>
          </reference>
          <reference field="2" count="1" selected="0">
            <x v="0"/>
          </reference>
        </references>
      </pivotArea>
    </format>
    <format dxfId="510">
      <pivotArea collapsedLevelsAreSubtotals="1" fieldPosition="0">
        <references count="2">
          <reference field="1" count="1">
            <x v="25"/>
          </reference>
          <reference field="2" count="1" selected="0">
            <x v="0"/>
          </reference>
        </references>
      </pivotArea>
    </format>
    <format dxfId="509">
      <pivotArea collapsedLevelsAreSubtotals="1" fieldPosition="0">
        <references count="2">
          <reference field="1" count="1">
            <x v="26"/>
          </reference>
          <reference field="2" count="1" selected="0">
            <x v="0"/>
          </reference>
        </references>
      </pivotArea>
    </format>
    <format dxfId="508">
      <pivotArea collapsedLevelsAreSubtotals="1" fieldPosition="0">
        <references count="2">
          <reference field="1" count="1">
            <x v="27"/>
          </reference>
          <reference field="2" count="1" selected="0">
            <x v="0"/>
          </reference>
        </references>
      </pivotArea>
    </format>
    <format dxfId="507">
      <pivotArea collapsedLevelsAreSubtotals="1" fieldPosition="0">
        <references count="2">
          <reference field="1" count="1">
            <x v="28"/>
          </reference>
          <reference field="2" count="1" selected="0">
            <x v="0"/>
          </reference>
        </references>
      </pivotArea>
    </format>
    <format dxfId="506">
      <pivotArea collapsedLevelsAreSubtotals="1" fieldPosition="0">
        <references count="2">
          <reference field="1" count="1">
            <x v="29"/>
          </reference>
          <reference field="2" count="1" selected="0">
            <x v="0"/>
          </reference>
        </references>
      </pivotArea>
    </format>
    <format dxfId="505">
      <pivotArea collapsedLevelsAreSubtotals="1" fieldPosition="0">
        <references count="2">
          <reference field="1" count="1">
            <x v="30"/>
          </reference>
          <reference field="2" count="1" selected="0">
            <x v="0"/>
          </reference>
        </references>
      </pivotArea>
    </format>
    <format dxfId="504">
      <pivotArea collapsedLevelsAreSubtotals="1" fieldPosition="0">
        <references count="1">
          <reference field="2" count="1">
            <x v="9"/>
          </reference>
        </references>
      </pivotArea>
    </format>
    <format dxfId="503">
      <pivotArea collapsedLevelsAreSubtotals="1" fieldPosition="0">
        <references count="2">
          <reference field="1" count="1">
            <x v="275"/>
          </reference>
          <reference field="2" count="1" selected="0">
            <x v="9"/>
          </reference>
        </references>
      </pivotArea>
    </format>
    <format dxfId="502">
      <pivotArea collapsedLevelsAreSubtotals="1" fieldPosition="0">
        <references count="2">
          <reference field="1" count="1">
            <x v="276"/>
          </reference>
          <reference field="2" count="1" selected="0">
            <x v="9"/>
          </reference>
        </references>
      </pivotArea>
    </format>
    <format dxfId="501">
      <pivotArea collapsedLevelsAreSubtotals="1" fieldPosition="0">
        <references count="2">
          <reference field="1" count="1">
            <x v="277"/>
          </reference>
          <reference field="2" count="1" selected="0">
            <x v="9"/>
          </reference>
        </references>
      </pivotArea>
    </format>
    <format dxfId="500">
      <pivotArea collapsedLevelsAreSubtotals="1" fieldPosition="0">
        <references count="2">
          <reference field="1" count="1">
            <x v="278"/>
          </reference>
          <reference field="2" count="1" selected="0">
            <x v="9"/>
          </reference>
        </references>
      </pivotArea>
    </format>
    <format dxfId="499">
      <pivotArea collapsedLevelsAreSubtotals="1" fieldPosition="0">
        <references count="2">
          <reference field="1" count="1">
            <x v="279"/>
          </reference>
          <reference field="2" count="1" selected="0">
            <x v="9"/>
          </reference>
        </references>
      </pivotArea>
    </format>
    <format dxfId="498">
      <pivotArea collapsedLevelsAreSubtotals="1" fieldPosition="0">
        <references count="2">
          <reference field="1" count="1">
            <x v="280"/>
          </reference>
          <reference field="2" count="1" selected="0">
            <x v="9"/>
          </reference>
        </references>
      </pivotArea>
    </format>
    <format dxfId="497">
      <pivotArea collapsedLevelsAreSubtotals="1" fieldPosition="0">
        <references count="2">
          <reference field="1" count="1">
            <x v="281"/>
          </reference>
          <reference field="2" count="1" selected="0">
            <x v="9"/>
          </reference>
        </references>
      </pivotArea>
    </format>
    <format dxfId="496">
      <pivotArea collapsedLevelsAreSubtotals="1" fieldPosition="0">
        <references count="2">
          <reference field="1" count="1">
            <x v="282"/>
          </reference>
          <reference field="2" count="1" selected="0">
            <x v="9"/>
          </reference>
        </references>
      </pivotArea>
    </format>
    <format dxfId="495">
      <pivotArea collapsedLevelsAreSubtotals="1" fieldPosition="0">
        <references count="2">
          <reference field="1" count="1">
            <x v="283"/>
          </reference>
          <reference field="2" count="1" selected="0">
            <x v="9"/>
          </reference>
        </references>
      </pivotArea>
    </format>
    <format dxfId="494">
      <pivotArea collapsedLevelsAreSubtotals="1" fieldPosition="0">
        <references count="2">
          <reference field="1" count="1">
            <x v="284"/>
          </reference>
          <reference field="2" count="1" selected="0">
            <x v="9"/>
          </reference>
        </references>
      </pivotArea>
    </format>
    <format dxfId="493">
      <pivotArea collapsedLevelsAreSubtotals="1" fieldPosition="0">
        <references count="2">
          <reference field="1" count="1">
            <x v="285"/>
          </reference>
          <reference field="2" count="1" selected="0">
            <x v="9"/>
          </reference>
        </references>
      </pivotArea>
    </format>
    <format dxfId="492">
      <pivotArea collapsedLevelsAreSubtotals="1" fieldPosition="0">
        <references count="2">
          <reference field="1" count="1">
            <x v="286"/>
          </reference>
          <reference field="2" count="1" selected="0">
            <x v="9"/>
          </reference>
        </references>
      </pivotArea>
    </format>
    <format dxfId="491">
      <pivotArea collapsedLevelsAreSubtotals="1" fieldPosition="0">
        <references count="2">
          <reference field="1" count="1">
            <x v="287"/>
          </reference>
          <reference field="2" count="1" selected="0">
            <x v="9"/>
          </reference>
        </references>
      </pivotArea>
    </format>
    <format dxfId="490">
      <pivotArea collapsedLevelsAreSubtotals="1" fieldPosition="0">
        <references count="2">
          <reference field="1" count="1">
            <x v="288"/>
          </reference>
          <reference field="2" count="1" selected="0">
            <x v="9"/>
          </reference>
        </references>
      </pivotArea>
    </format>
    <format dxfId="489">
      <pivotArea collapsedLevelsAreSubtotals="1" fieldPosition="0">
        <references count="2">
          <reference field="1" count="1">
            <x v="289"/>
          </reference>
          <reference field="2" count="1" selected="0">
            <x v="9"/>
          </reference>
        </references>
      </pivotArea>
    </format>
    <format dxfId="488">
      <pivotArea collapsedLevelsAreSubtotals="1" fieldPosition="0">
        <references count="2">
          <reference field="1" count="1">
            <x v="290"/>
          </reference>
          <reference field="2" count="1" selected="0">
            <x v="9"/>
          </reference>
        </references>
      </pivotArea>
    </format>
    <format dxfId="487">
      <pivotArea collapsedLevelsAreSubtotals="1" fieldPosition="0">
        <references count="2">
          <reference field="1" count="1">
            <x v="291"/>
          </reference>
          <reference field="2" count="1" selected="0">
            <x v="9"/>
          </reference>
        </references>
      </pivotArea>
    </format>
    <format dxfId="486">
      <pivotArea collapsedLevelsAreSubtotals="1" fieldPosition="0">
        <references count="2">
          <reference field="1" count="1">
            <x v="292"/>
          </reference>
          <reference field="2" count="1" selected="0">
            <x v="9"/>
          </reference>
        </references>
      </pivotArea>
    </format>
    <format dxfId="485">
      <pivotArea collapsedLevelsAreSubtotals="1" fieldPosition="0">
        <references count="2">
          <reference field="1" count="1">
            <x v="293"/>
          </reference>
          <reference field="2" count="1" selected="0">
            <x v="9"/>
          </reference>
        </references>
      </pivotArea>
    </format>
    <format dxfId="484">
      <pivotArea collapsedLevelsAreSubtotals="1" fieldPosition="0">
        <references count="2">
          <reference field="1" count="1">
            <x v="294"/>
          </reference>
          <reference field="2" count="1" selected="0">
            <x v="9"/>
          </reference>
        </references>
      </pivotArea>
    </format>
    <format dxfId="483">
      <pivotArea collapsedLevelsAreSubtotals="1" fieldPosition="0">
        <references count="2">
          <reference field="1" count="1">
            <x v="295"/>
          </reference>
          <reference field="2" count="1" selected="0">
            <x v="9"/>
          </reference>
        </references>
      </pivotArea>
    </format>
    <format dxfId="482">
      <pivotArea collapsedLevelsAreSubtotals="1" fieldPosition="0">
        <references count="2">
          <reference field="1" count="1">
            <x v="296"/>
          </reference>
          <reference field="2" count="1" selected="0">
            <x v="9"/>
          </reference>
        </references>
      </pivotArea>
    </format>
    <format dxfId="481">
      <pivotArea collapsedLevelsAreSubtotals="1" fieldPosition="0">
        <references count="2">
          <reference field="1" count="1">
            <x v="297"/>
          </reference>
          <reference field="2" count="1" selected="0">
            <x v="9"/>
          </reference>
        </references>
      </pivotArea>
    </format>
    <format dxfId="480">
      <pivotArea collapsedLevelsAreSubtotals="1" fieldPosition="0">
        <references count="2">
          <reference field="1" count="1">
            <x v="298"/>
          </reference>
          <reference field="2" count="1" selected="0">
            <x v="9"/>
          </reference>
        </references>
      </pivotArea>
    </format>
    <format dxfId="479">
      <pivotArea collapsedLevelsAreSubtotals="1" fieldPosition="0">
        <references count="2">
          <reference field="1" count="1">
            <x v="299"/>
          </reference>
          <reference field="2" count="1" selected="0">
            <x v="9"/>
          </reference>
        </references>
      </pivotArea>
    </format>
    <format dxfId="478">
      <pivotArea collapsedLevelsAreSubtotals="1" fieldPosition="0">
        <references count="2">
          <reference field="1" count="1">
            <x v="300"/>
          </reference>
          <reference field="2" count="1" selected="0">
            <x v="9"/>
          </reference>
        </references>
      </pivotArea>
    </format>
    <format dxfId="477">
      <pivotArea collapsedLevelsAreSubtotals="1" fieldPosition="0">
        <references count="2">
          <reference field="1" count="1">
            <x v="301"/>
          </reference>
          <reference field="2" count="1" selected="0">
            <x v="9"/>
          </reference>
        </references>
      </pivotArea>
    </format>
    <format dxfId="476">
      <pivotArea collapsedLevelsAreSubtotals="1" fieldPosition="0">
        <references count="2">
          <reference field="1" count="1">
            <x v="302"/>
          </reference>
          <reference field="2" count="1" selected="0">
            <x v="9"/>
          </reference>
        </references>
      </pivotArea>
    </format>
    <format dxfId="475">
      <pivotArea collapsedLevelsAreSubtotals="1" fieldPosition="0">
        <references count="2">
          <reference field="1" count="1">
            <x v="303"/>
          </reference>
          <reference field="2" count="1" selected="0">
            <x v="9"/>
          </reference>
        </references>
      </pivotArea>
    </format>
    <format dxfId="474">
      <pivotArea collapsedLevelsAreSubtotals="1" fieldPosition="0">
        <references count="2">
          <reference field="1" count="1">
            <x v="304"/>
          </reference>
          <reference field="2" count="1" selected="0">
            <x v="9"/>
          </reference>
        </references>
      </pivotArea>
    </format>
    <format dxfId="473">
      <pivotArea collapsedLevelsAreSubtotals="1" fieldPosition="0">
        <references count="1">
          <reference field="2" count="1">
            <x v="1"/>
          </reference>
        </references>
      </pivotArea>
    </format>
    <format dxfId="472">
      <pivotArea collapsedLevelsAreSubtotals="1" fieldPosition="0">
        <references count="2">
          <reference field="1" count="1">
            <x v="31"/>
          </reference>
          <reference field="2" count="1" selected="0">
            <x v="1"/>
          </reference>
        </references>
      </pivotArea>
    </format>
    <format dxfId="471">
      <pivotArea collapsedLevelsAreSubtotals="1" fieldPosition="0">
        <references count="2">
          <reference field="1" count="1">
            <x v="32"/>
          </reference>
          <reference field="2" count="1" selected="0">
            <x v="1"/>
          </reference>
        </references>
      </pivotArea>
    </format>
    <format dxfId="470">
      <pivotArea collapsedLevelsAreSubtotals="1" fieldPosition="0">
        <references count="2">
          <reference field="1" count="1">
            <x v="33"/>
          </reference>
          <reference field="2" count="1" selected="0">
            <x v="1"/>
          </reference>
        </references>
      </pivotArea>
    </format>
    <format dxfId="469">
      <pivotArea collapsedLevelsAreSubtotals="1" fieldPosition="0">
        <references count="2">
          <reference field="1" count="1">
            <x v="34"/>
          </reference>
          <reference field="2" count="1" selected="0">
            <x v="1"/>
          </reference>
        </references>
      </pivotArea>
    </format>
    <format dxfId="468">
      <pivotArea collapsedLevelsAreSubtotals="1" fieldPosition="0">
        <references count="2">
          <reference field="1" count="1">
            <x v="35"/>
          </reference>
          <reference field="2" count="1" selected="0">
            <x v="1"/>
          </reference>
        </references>
      </pivotArea>
    </format>
    <format dxfId="467">
      <pivotArea collapsedLevelsAreSubtotals="1" fieldPosition="0">
        <references count="2">
          <reference field="1" count="1">
            <x v="36"/>
          </reference>
          <reference field="2" count="1" selected="0">
            <x v="1"/>
          </reference>
        </references>
      </pivotArea>
    </format>
    <format dxfId="466">
      <pivotArea collapsedLevelsAreSubtotals="1" fieldPosition="0">
        <references count="2">
          <reference field="1" count="1">
            <x v="37"/>
          </reference>
          <reference field="2" count="1" selected="0">
            <x v="1"/>
          </reference>
        </references>
      </pivotArea>
    </format>
    <format dxfId="465">
      <pivotArea collapsedLevelsAreSubtotals="1" fieldPosition="0">
        <references count="2">
          <reference field="1" count="1">
            <x v="38"/>
          </reference>
          <reference field="2" count="1" selected="0">
            <x v="1"/>
          </reference>
        </references>
      </pivotArea>
    </format>
    <format dxfId="464">
      <pivotArea collapsedLevelsAreSubtotals="1" fieldPosition="0">
        <references count="2">
          <reference field="1" count="1">
            <x v="39"/>
          </reference>
          <reference field="2" count="1" selected="0">
            <x v="1"/>
          </reference>
        </references>
      </pivotArea>
    </format>
    <format dxfId="463">
      <pivotArea collapsedLevelsAreSubtotals="1" fieldPosition="0">
        <references count="2">
          <reference field="1" count="1">
            <x v="40"/>
          </reference>
          <reference field="2" count="1" selected="0">
            <x v="1"/>
          </reference>
        </references>
      </pivotArea>
    </format>
    <format dxfId="462">
      <pivotArea collapsedLevelsAreSubtotals="1" fieldPosition="0">
        <references count="2">
          <reference field="1" count="1">
            <x v="41"/>
          </reference>
          <reference field="2" count="1" selected="0">
            <x v="1"/>
          </reference>
        </references>
      </pivotArea>
    </format>
    <format dxfId="461">
      <pivotArea collapsedLevelsAreSubtotals="1" fieldPosition="0">
        <references count="2">
          <reference field="1" count="1">
            <x v="42"/>
          </reference>
          <reference field="2" count="1" selected="0">
            <x v="1"/>
          </reference>
        </references>
      </pivotArea>
    </format>
    <format dxfId="460">
      <pivotArea collapsedLevelsAreSubtotals="1" fieldPosition="0">
        <references count="2">
          <reference field="1" count="1">
            <x v="43"/>
          </reference>
          <reference field="2" count="1" selected="0">
            <x v="1"/>
          </reference>
        </references>
      </pivotArea>
    </format>
    <format dxfId="459">
      <pivotArea collapsedLevelsAreSubtotals="1" fieldPosition="0">
        <references count="2">
          <reference field="1" count="1">
            <x v="44"/>
          </reference>
          <reference field="2" count="1" selected="0">
            <x v="1"/>
          </reference>
        </references>
      </pivotArea>
    </format>
    <format dxfId="458">
      <pivotArea collapsedLevelsAreSubtotals="1" fieldPosition="0">
        <references count="2">
          <reference field="1" count="1">
            <x v="45"/>
          </reference>
          <reference field="2" count="1" selected="0">
            <x v="1"/>
          </reference>
        </references>
      </pivotArea>
    </format>
    <format dxfId="457">
      <pivotArea collapsedLevelsAreSubtotals="1" fieldPosition="0">
        <references count="2">
          <reference field="1" count="1">
            <x v="46"/>
          </reference>
          <reference field="2" count="1" selected="0">
            <x v="1"/>
          </reference>
        </references>
      </pivotArea>
    </format>
    <format dxfId="456">
      <pivotArea collapsedLevelsAreSubtotals="1" fieldPosition="0">
        <references count="2">
          <reference field="1" count="1">
            <x v="47"/>
          </reference>
          <reference field="2" count="1" selected="0">
            <x v="1"/>
          </reference>
        </references>
      </pivotArea>
    </format>
    <format dxfId="455">
      <pivotArea collapsedLevelsAreSubtotals="1" fieldPosition="0">
        <references count="2">
          <reference field="1" count="1">
            <x v="48"/>
          </reference>
          <reference field="2" count="1" selected="0">
            <x v="1"/>
          </reference>
        </references>
      </pivotArea>
    </format>
    <format dxfId="454">
      <pivotArea collapsedLevelsAreSubtotals="1" fieldPosition="0">
        <references count="2">
          <reference field="1" count="1">
            <x v="49"/>
          </reference>
          <reference field="2" count="1" selected="0">
            <x v="1"/>
          </reference>
        </references>
      </pivotArea>
    </format>
    <format dxfId="453">
      <pivotArea collapsedLevelsAreSubtotals="1" fieldPosition="0">
        <references count="2">
          <reference field="1" count="1">
            <x v="50"/>
          </reference>
          <reference field="2" count="1" selected="0">
            <x v="1"/>
          </reference>
        </references>
      </pivotArea>
    </format>
    <format dxfId="452">
      <pivotArea collapsedLevelsAreSubtotals="1" fieldPosition="0">
        <references count="2">
          <reference field="1" count="1">
            <x v="51"/>
          </reference>
          <reference field="2" count="1" selected="0">
            <x v="1"/>
          </reference>
        </references>
      </pivotArea>
    </format>
    <format dxfId="451">
      <pivotArea collapsedLevelsAreSubtotals="1" fieldPosition="0">
        <references count="2">
          <reference field="1" count="1">
            <x v="52"/>
          </reference>
          <reference field="2" count="1" selected="0">
            <x v="1"/>
          </reference>
        </references>
      </pivotArea>
    </format>
    <format dxfId="450">
      <pivotArea collapsedLevelsAreSubtotals="1" fieldPosition="0">
        <references count="2">
          <reference field="1" count="1">
            <x v="53"/>
          </reference>
          <reference field="2" count="1" selected="0">
            <x v="1"/>
          </reference>
        </references>
      </pivotArea>
    </format>
    <format dxfId="449">
      <pivotArea collapsedLevelsAreSubtotals="1" fieldPosition="0">
        <references count="2">
          <reference field="1" count="1">
            <x v="54"/>
          </reference>
          <reference field="2" count="1" selected="0">
            <x v="1"/>
          </reference>
        </references>
      </pivotArea>
    </format>
    <format dxfId="448">
      <pivotArea collapsedLevelsAreSubtotals="1" fieldPosition="0">
        <references count="2">
          <reference field="1" count="1">
            <x v="55"/>
          </reference>
          <reference field="2" count="1" selected="0">
            <x v="1"/>
          </reference>
        </references>
      </pivotArea>
    </format>
    <format dxfId="447">
      <pivotArea collapsedLevelsAreSubtotals="1" fieldPosition="0">
        <references count="2">
          <reference field="1" count="1">
            <x v="56"/>
          </reference>
          <reference field="2" count="1" selected="0">
            <x v="1"/>
          </reference>
        </references>
      </pivotArea>
    </format>
    <format dxfId="446">
      <pivotArea collapsedLevelsAreSubtotals="1" fieldPosition="0">
        <references count="2">
          <reference field="1" count="1">
            <x v="57"/>
          </reference>
          <reference field="2" count="1" selected="0">
            <x v="1"/>
          </reference>
        </references>
      </pivotArea>
    </format>
    <format dxfId="445">
      <pivotArea collapsedLevelsAreSubtotals="1" fieldPosition="0">
        <references count="2">
          <reference field="1" count="1">
            <x v="58"/>
          </reference>
          <reference field="2" count="1" selected="0">
            <x v="1"/>
          </reference>
        </references>
      </pivotArea>
    </format>
    <format dxfId="444">
      <pivotArea collapsedLevelsAreSubtotals="1" fieldPosition="0">
        <references count="2">
          <reference field="1" count="1">
            <x v="59"/>
          </reference>
          <reference field="2" count="1" selected="0">
            <x v="1"/>
          </reference>
        </references>
      </pivotArea>
    </format>
    <format dxfId="443">
      <pivotArea collapsedLevelsAreSubtotals="1" fieldPosition="0">
        <references count="2">
          <reference field="1" count="1">
            <x v="60"/>
          </reference>
          <reference field="2" count="1" selected="0">
            <x v="1"/>
          </reference>
        </references>
      </pivotArea>
    </format>
    <format dxfId="442">
      <pivotArea collapsedLevelsAreSubtotals="1" fieldPosition="0">
        <references count="2">
          <reference field="1" count="1">
            <x v="61"/>
          </reference>
          <reference field="2" count="1" selected="0">
            <x v="1"/>
          </reference>
        </references>
      </pivotArea>
    </format>
    <format dxfId="441">
      <pivotArea collapsedLevelsAreSubtotals="1" fieldPosition="0">
        <references count="1">
          <reference field="2" count="1">
            <x v="10"/>
          </reference>
        </references>
      </pivotArea>
    </format>
    <format dxfId="440">
      <pivotArea collapsedLevelsAreSubtotals="1" fieldPosition="0">
        <references count="2">
          <reference field="1" count="1">
            <x v="305"/>
          </reference>
          <reference field="2" count="1" selected="0">
            <x v="10"/>
          </reference>
        </references>
      </pivotArea>
    </format>
    <format dxfId="439">
      <pivotArea collapsedLevelsAreSubtotals="1" fieldPosition="0">
        <references count="2">
          <reference field="1" count="1">
            <x v="306"/>
          </reference>
          <reference field="2" count="1" selected="0">
            <x v="10"/>
          </reference>
        </references>
      </pivotArea>
    </format>
    <format dxfId="438">
      <pivotArea collapsedLevelsAreSubtotals="1" fieldPosition="0">
        <references count="2">
          <reference field="1" count="1">
            <x v="307"/>
          </reference>
          <reference field="2" count="1" selected="0">
            <x v="10"/>
          </reference>
        </references>
      </pivotArea>
    </format>
    <format dxfId="437">
      <pivotArea collapsedLevelsAreSubtotals="1" fieldPosition="0">
        <references count="2">
          <reference field="1" count="1">
            <x v="308"/>
          </reference>
          <reference field="2" count="1" selected="0">
            <x v="10"/>
          </reference>
        </references>
      </pivotArea>
    </format>
    <format dxfId="436">
      <pivotArea collapsedLevelsAreSubtotals="1" fieldPosition="0">
        <references count="2">
          <reference field="1" count="1">
            <x v="309"/>
          </reference>
          <reference field="2" count="1" selected="0">
            <x v="10"/>
          </reference>
        </references>
      </pivotArea>
    </format>
    <format dxfId="435">
      <pivotArea collapsedLevelsAreSubtotals="1" fieldPosition="0">
        <references count="2">
          <reference field="1" count="1">
            <x v="310"/>
          </reference>
          <reference field="2" count="1" selected="0">
            <x v="10"/>
          </reference>
        </references>
      </pivotArea>
    </format>
    <format dxfId="434">
      <pivotArea collapsedLevelsAreSubtotals="1" fieldPosition="0">
        <references count="2">
          <reference field="1" count="1">
            <x v="311"/>
          </reference>
          <reference field="2" count="1" selected="0">
            <x v="10"/>
          </reference>
        </references>
      </pivotArea>
    </format>
    <format dxfId="433">
      <pivotArea collapsedLevelsAreSubtotals="1" fieldPosition="0">
        <references count="2">
          <reference field="1" count="1">
            <x v="312"/>
          </reference>
          <reference field="2" count="1" selected="0">
            <x v="10"/>
          </reference>
        </references>
      </pivotArea>
    </format>
    <format dxfId="432">
      <pivotArea collapsedLevelsAreSubtotals="1" fieldPosition="0">
        <references count="2">
          <reference field="1" count="1">
            <x v="313"/>
          </reference>
          <reference field="2" count="1" selected="0">
            <x v="10"/>
          </reference>
        </references>
      </pivotArea>
    </format>
    <format dxfId="431">
      <pivotArea collapsedLevelsAreSubtotals="1" fieldPosition="0">
        <references count="2">
          <reference field="1" count="1">
            <x v="314"/>
          </reference>
          <reference field="2" count="1" selected="0">
            <x v="10"/>
          </reference>
        </references>
      </pivotArea>
    </format>
    <format dxfId="430">
      <pivotArea collapsedLevelsAreSubtotals="1" fieldPosition="0">
        <references count="2">
          <reference field="1" count="1">
            <x v="315"/>
          </reference>
          <reference field="2" count="1" selected="0">
            <x v="10"/>
          </reference>
        </references>
      </pivotArea>
    </format>
    <format dxfId="429">
      <pivotArea collapsedLevelsAreSubtotals="1" fieldPosition="0">
        <references count="2">
          <reference field="1" count="1">
            <x v="316"/>
          </reference>
          <reference field="2" count="1" selected="0">
            <x v="10"/>
          </reference>
        </references>
      </pivotArea>
    </format>
    <format dxfId="428">
      <pivotArea collapsedLevelsAreSubtotals="1" fieldPosition="0">
        <references count="2">
          <reference field="1" count="1">
            <x v="317"/>
          </reference>
          <reference field="2" count="1" selected="0">
            <x v="10"/>
          </reference>
        </references>
      </pivotArea>
    </format>
    <format dxfId="427">
      <pivotArea collapsedLevelsAreSubtotals="1" fieldPosition="0">
        <references count="2">
          <reference field="1" count="1">
            <x v="318"/>
          </reference>
          <reference field="2" count="1" selected="0">
            <x v="10"/>
          </reference>
        </references>
      </pivotArea>
    </format>
    <format dxfId="426">
      <pivotArea collapsedLevelsAreSubtotals="1" fieldPosition="0">
        <references count="2">
          <reference field="1" count="1">
            <x v="319"/>
          </reference>
          <reference field="2" count="1" selected="0">
            <x v="10"/>
          </reference>
        </references>
      </pivotArea>
    </format>
    <format dxfId="425">
      <pivotArea collapsedLevelsAreSubtotals="1" fieldPosition="0">
        <references count="2">
          <reference field="1" count="1">
            <x v="320"/>
          </reference>
          <reference field="2" count="1" selected="0">
            <x v="10"/>
          </reference>
        </references>
      </pivotArea>
    </format>
    <format dxfId="424">
      <pivotArea collapsedLevelsAreSubtotals="1" fieldPosition="0">
        <references count="2">
          <reference field="1" count="1">
            <x v="321"/>
          </reference>
          <reference field="2" count="1" selected="0">
            <x v="10"/>
          </reference>
        </references>
      </pivotArea>
    </format>
    <format dxfId="423">
      <pivotArea collapsedLevelsAreSubtotals="1" fieldPosition="0">
        <references count="2">
          <reference field="1" count="1">
            <x v="322"/>
          </reference>
          <reference field="2" count="1" selected="0">
            <x v="10"/>
          </reference>
        </references>
      </pivotArea>
    </format>
    <format dxfId="422">
      <pivotArea collapsedLevelsAreSubtotals="1" fieldPosition="0">
        <references count="2">
          <reference field="1" count="1">
            <x v="323"/>
          </reference>
          <reference field="2" count="1" selected="0">
            <x v="10"/>
          </reference>
        </references>
      </pivotArea>
    </format>
    <format dxfId="421">
      <pivotArea collapsedLevelsAreSubtotals="1" fieldPosition="0">
        <references count="2">
          <reference field="1" count="1">
            <x v="324"/>
          </reference>
          <reference field="2" count="1" selected="0">
            <x v="10"/>
          </reference>
        </references>
      </pivotArea>
    </format>
    <format dxfId="420">
      <pivotArea collapsedLevelsAreSubtotals="1" fieldPosition="0">
        <references count="2">
          <reference field="1" count="1">
            <x v="325"/>
          </reference>
          <reference field="2" count="1" selected="0">
            <x v="10"/>
          </reference>
        </references>
      </pivotArea>
    </format>
    <format dxfId="419">
      <pivotArea collapsedLevelsAreSubtotals="1" fieldPosition="0">
        <references count="2">
          <reference field="1" count="1">
            <x v="326"/>
          </reference>
          <reference field="2" count="1" selected="0">
            <x v="10"/>
          </reference>
        </references>
      </pivotArea>
    </format>
    <format dxfId="418">
      <pivotArea collapsedLevelsAreSubtotals="1" fieldPosition="0">
        <references count="2">
          <reference field="1" count="1">
            <x v="327"/>
          </reference>
          <reference field="2" count="1" selected="0">
            <x v="10"/>
          </reference>
        </references>
      </pivotArea>
    </format>
    <format dxfId="417">
      <pivotArea collapsedLevelsAreSubtotals="1" fieldPosition="0">
        <references count="2">
          <reference field="1" count="1">
            <x v="328"/>
          </reference>
          <reference field="2" count="1" selected="0">
            <x v="10"/>
          </reference>
        </references>
      </pivotArea>
    </format>
    <format dxfId="416">
      <pivotArea collapsedLevelsAreSubtotals="1" fieldPosition="0">
        <references count="2">
          <reference field="1" count="1">
            <x v="329"/>
          </reference>
          <reference field="2" count="1" selected="0">
            <x v="10"/>
          </reference>
        </references>
      </pivotArea>
    </format>
    <format dxfId="415">
      <pivotArea collapsedLevelsAreSubtotals="1" fieldPosition="0">
        <references count="2">
          <reference field="1" count="1">
            <x v="330"/>
          </reference>
          <reference field="2" count="1" selected="0">
            <x v="10"/>
          </reference>
        </references>
      </pivotArea>
    </format>
    <format dxfId="414">
      <pivotArea collapsedLevelsAreSubtotals="1" fieldPosition="0">
        <references count="2">
          <reference field="1" count="1">
            <x v="331"/>
          </reference>
          <reference field="2" count="1" selected="0">
            <x v="10"/>
          </reference>
        </references>
      </pivotArea>
    </format>
    <format dxfId="413">
      <pivotArea collapsedLevelsAreSubtotals="1" fieldPosition="0">
        <references count="2">
          <reference field="1" count="1">
            <x v="332"/>
          </reference>
          <reference field="2" count="1" selected="0">
            <x v="10"/>
          </reference>
        </references>
      </pivotArea>
    </format>
    <format dxfId="412">
      <pivotArea collapsedLevelsAreSubtotals="1" fieldPosition="0">
        <references count="2">
          <reference field="1" count="1">
            <x v="333"/>
          </reference>
          <reference field="2" count="1" selected="0">
            <x v="10"/>
          </reference>
        </references>
      </pivotArea>
    </format>
    <format dxfId="411">
      <pivotArea collapsedLevelsAreSubtotals="1" fieldPosition="0">
        <references count="2">
          <reference field="1" count="1">
            <x v="334"/>
          </reference>
          <reference field="2" count="1" selected="0">
            <x v="10"/>
          </reference>
        </references>
      </pivotArea>
    </format>
    <format dxfId="410">
      <pivotArea collapsedLevelsAreSubtotals="1" fieldPosition="0">
        <references count="1">
          <reference field="2" count="1">
            <x v="11"/>
          </reference>
        </references>
      </pivotArea>
    </format>
    <format dxfId="409">
      <pivotArea collapsedLevelsAreSubtotals="1" fieldPosition="0">
        <references count="2">
          <reference field="1" count="1">
            <x v="335"/>
          </reference>
          <reference field="2" count="1" selected="0">
            <x v="11"/>
          </reference>
        </references>
      </pivotArea>
    </format>
    <format dxfId="408">
      <pivotArea collapsedLevelsAreSubtotals="1" fieldPosition="0">
        <references count="2">
          <reference field="1" count="1">
            <x v="336"/>
          </reference>
          <reference field="2" count="1" selected="0">
            <x v="11"/>
          </reference>
        </references>
      </pivotArea>
    </format>
    <format dxfId="407">
      <pivotArea collapsedLevelsAreSubtotals="1" fieldPosition="0">
        <references count="2">
          <reference field="1" count="1">
            <x v="337"/>
          </reference>
          <reference field="2" count="1" selected="0">
            <x v="11"/>
          </reference>
        </references>
      </pivotArea>
    </format>
    <format dxfId="406">
      <pivotArea collapsedLevelsAreSubtotals="1" fieldPosition="0">
        <references count="2">
          <reference field="1" count="1">
            <x v="338"/>
          </reference>
          <reference field="2" count="1" selected="0">
            <x v="11"/>
          </reference>
        </references>
      </pivotArea>
    </format>
    <format dxfId="405">
      <pivotArea collapsedLevelsAreSubtotals="1" fieldPosition="0">
        <references count="2">
          <reference field="1" count="1">
            <x v="339"/>
          </reference>
          <reference field="2" count="1" selected="0">
            <x v="11"/>
          </reference>
        </references>
      </pivotArea>
    </format>
    <format dxfId="404">
      <pivotArea collapsedLevelsAreSubtotals="1" fieldPosition="0">
        <references count="2">
          <reference field="1" count="1">
            <x v="340"/>
          </reference>
          <reference field="2" count="1" selected="0">
            <x v="11"/>
          </reference>
        </references>
      </pivotArea>
    </format>
    <format dxfId="403">
      <pivotArea collapsedLevelsAreSubtotals="1" fieldPosition="0">
        <references count="2">
          <reference field="1" count="1">
            <x v="341"/>
          </reference>
          <reference field="2" count="1" selected="0">
            <x v="11"/>
          </reference>
        </references>
      </pivotArea>
    </format>
    <format dxfId="402">
      <pivotArea collapsedLevelsAreSubtotals="1" fieldPosition="0">
        <references count="2">
          <reference field="1" count="1">
            <x v="342"/>
          </reference>
          <reference field="2" count="1" selected="0">
            <x v="11"/>
          </reference>
        </references>
      </pivotArea>
    </format>
    <format dxfId="401">
      <pivotArea collapsedLevelsAreSubtotals="1" fieldPosition="0">
        <references count="2">
          <reference field="1" count="1">
            <x v="343"/>
          </reference>
          <reference field="2" count="1" selected="0">
            <x v="11"/>
          </reference>
        </references>
      </pivotArea>
    </format>
    <format dxfId="400">
      <pivotArea collapsedLevelsAreSubtotals="1" fieldPosition="0">
        <references count="2">
          <reference field="1" count="1">
            <x v="344"/>
          </reference>
          <reference field="2" count="1" selected="0">
            <x v="11"/>
          </reference>
        </references>
      </pivotArea>
    </format>
    <format dxfId="399">
      <pivotArea collapsedLevelsAreSubtotals="1" fieldPosition="0">
        <references count="2">
          <reference field="1" count="1">
            <x v="345"/>
          </reference>
          <reference field="2" count="1" selected="0">
            <x v="11"/>
          </reference>
        </references>
      </pivotArea>
    </format>
    <format dxfId="398">
      <pivotArea collapsedLevelsAreSubtotals="1" fieldPosition="0">
        <references count="2">
          <reference field="1" count="1">
            <x v="346"/>
          </reference>
          <reference field="2" count="1" selected="0">
            <x v="11"/>
          </reference>
        </references>
      </pivotArea>
    </format>
    <format dxfId="397">
      <pivotArea collapsedLevelsAreSubtotals="1" fieldPosition="0">
        <references count="2">
          <reference field="1" count="1">
            <x v="347"/>
          </reference>
          <reference field="2" count="1" selected="0">
            <x v="11"/>
          </reference>
        </references>
      </pivotArea>
    </format>
    <format dxfId="396">
      <pivotArea collapsedLevelsAreSubtotals="1" fieldPosition="0">
        <references count="2">
          <reference field="1" count="1">
            <x v="348"/>
          </reference>
          <reference field="2" count="1" selected="0">
            <x v="11"/>
          </reference>
        </references>
      </pivotArea>
    </format>
    <format dxfId="395">
      <pivotArea collapsedLevelsAreSubtotals="1" fieldPosition="0">
        <references count="2">
          <reference field="1" count="1">
            <x v="349"/>
          </reference>
          <reference field="2" count="1" selected="0">
            <x v="11"/>
          </reference>
        </references>
      </pivotArea>
    </format>
    <format dxfId="394">
      <pivotArea collapsedLevelsAreSubtotals="1" fieldPosition="0">
        <references count="2">
          <reference field="1" count="1">
            <x v="350"/>
          </reference>
          <reference field="2" count="1" selected="0">
            <x v="11"/>
          </reference>
        </references>
      </pivotArea>
    </format>
    <format dxfId="393">
      <pivotArea collapsedLevelsAreSubtotals="1" fieldPosition="0">
        <references count="2">
          <reference field="1" count="1">
            <x v="351"/>
          </reference>
          <reference field="2" count="1" selected="0">
            <x v="11"/>
          </reference>
        </references>
      </pivotArea>
    </format>
    <format dxfId="392">
      <pivotArea collapsedLevelsAreSubtotals="1" fieldPosition="0">
        <references count="2">
          <reference field="1" count="1">
            <x v="352"/>
          </reference>
          <reference field="2" count="1" selected="0">
            <x v="11"/>
          </reference>
        </references>
      </pivotArea>
    </format>
    <format dxfId="391">
      <pivotArea collapsedLevelsAreSubtotals="1" fieldPosition="0">
        <references count="2">
          <reference field="1" count="1">
            <x v="353"/>
          </reference>
          <reference field="2" count="1" selected="0">
            <x v="11"/>
          </reference>
        </references>
      </pivotArea>
    </format>
    <format dxfId="390">
      <pivotArea collapsedLevelsAreSubtotals="1" fieldPosition="0">
        <references count="2">
          <reference field="1" count="1">
            <x v="354"/>
          </reference>
          <reference field="2" count="1" selected="0">
            <x v="11"/>
          </reference>
        </references>
      </pivotArea>
    </format>
    <format dxfId="389">
      <pivotArea collapsedLevelsAreSubtotals="1" fieldPosition="0">
        <references count="2">
          <reference field="1" count="1">
            <x v="355"/>
          </reference>
          <reference field="2" count="1" selected="0">
            <x v="11"/>
          </reference>
        </references>
      </pivotArea>
    </format>
    <format dxfId="388">
      <pivotArea collapsedLevelsAreSubtotals="1" fieldPosition="0">
        <references count="2">
          <reference field="1" count="1">
            <x v="356"/>
          </reference>
          <reference field="2" count="1" selected="0">
            <x v="11"/>
          </reference>
        </references>
      </pivotArea>
    </format>
    <format dxfId="387">
      <pivotArea collapsedLevelsAreSubtotals="1" fieldPosition="0">
        <references count="2">
          <reference field="1" count="1">
            <x v="357"/>
          </reference>
          <reference field="2" count="1" selected="0">
            <x v="11"/>
          </reference>
        </references>
      </pivotArea>
    </format>
    <format dxfId="386">
      <pivotArea collapsedLevelsAreSubtotals="1" fieldPosition="0">
        <references count="2">
          <reference field="1" count="1">
            <x v="358"/>
          </reference>
          <reference field="2" count="1" selected="0">
            <x v="11"/>
          </reference>
        </references>
      </pivotArea>
    </format>
    <format dxfId="385">
      <pivotArea collapsedLevelsAreSubtotals="1" fieldPosition="0">
        <references count="2">
          <reference field="1" count="1">
            <x v="359"/>
          </reference>
          <reference field="2" count="1" selected="0">
            <x v="11"/>
          </reference>
        </references>
      </pivotArea>
    </format>
    <format dxfId="384">
      <pivotArea collapsedLevelsAreSubtotals="1" fieldPosition="0">
        <references count="2">
          <reference field="1" count="1">
            <x v="360"/>
          </reference>
          <reference field="2" count="1" selected="0">
            <x v="11"/>
          </reference>
        </references>
      </pivotArea>
    </format>
    <format dxfId="383">
      <pivotArea collapsedLevelsAreSubtotals="1" fieldPosition="0">
        <references count="2">
          <reference field="1" count="1">
            <x v="361"/>
          </reference>
          <reference field="2" count="1" selected="0">
            <x v="11"/>
          </reference>
        </references>
      </pivotArea>
    </format>
    <format dxfId="382">
      <pivotArea collapsedLevelsAreSubtotals="1" fieldPosition="0">
        <references count="2">
          <reference field="1" count="1">
            <x v="362"/>
          </reference>
          <reference field="2" count="1" selected="0">
            <x v="11"/>
          </reference>
        </references>
      </pivotArea>
    </format>
    <format dxfId="381">
      <pivotArea collapsedLevelsAreSubtotals="1" fieldPosition="0">
        <references count="2">
          <reference field="1" count="1">
            <x v="363"/>
          </reference>
          <reference field="2" count="1" selected="0">
            <x v="11"/>
          </reference>
        </references>
      </pivotArea>
    </format>
    <format dxfId="380">
      <pivotArea collapsedLevelsAreSubtotals="1" fieldPosition="0">
        <references count="2">
          <reference field="1" count="1">
            <x v="364"/>
          </reference>
          <reference field="2" count="1" selected="0">
            <x v="11"/>
          </reference>
        </references>
      </pivotArea>
    </format>
    <format dxfId="379">
      <pivotArea collapsedLevelsAreSubtotals="1" fieldPosition="0">
        <references count="2">
          <reference field="1" count="1">
            <x v="365"/>
          </reference>
          <reference field="2" count="1" selected="0">
            <x v="11"/>
          </reference>
        </references>
      </pivotArea>
    </format>
    <format dxfId="378">
      <pivotArea grandRow="1" outline="0" collapsedLevelsAreSubtotals="1" fieldPosition="0"/>
    </format>
  </formats>
  <chartFormats count="2">
    <chartFormat chart="9" format="2"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1"/>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E6BD922-669E-4D04-92F6-B2009B263047}" name="PivotTable10" cacheId="8" applyNumberFormats="0" applyBorderFormats="0" applyFontFormats="0" applyPatternFormats="0" applyAlignmentFormats="0" applyWidthHeightFormats="1" dataCaption="Values" tag="706f620c-5cee-4938-80fe-95f946930a10" updatedVersion="8" minRefreshableVersion="3" subtotalHiddenItems="1" itemPrintTitles="1" createdVersion="8" indent="0" outline="1" outlineData="1" multipleFieldFilters="0" chartFormat="24">
  <location ref="AB5:AC8"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0" subtotal="count" showDataAs="percentOfTotal" baseField="0" baseItem="0" numFmtId="10"/>
  </dataFields>
  <chartFormats count="5">
    <chartFormat chart="9"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1" count="1" selected="0">
            <x v="0"/>
          </reference>
        </references>
      </pivotArea>
    </chartFormat>
    <chartFormat chart="21" format="8">
      <pivotArea type="data" outline="0" fieldPosition="0">
        <references count="2">
          <reference field="4294967294" count="1" selected="0">
            <x v="0"/>
          </reference>
          <reference field="1" count="1" selected="0">
            <x v="1"/>
          </reference>
        </references>
      </pivotArea>
    </chartFormat>
  </chartFormats>
  <pivotHierarchies count="28">
    <pivotHierarchy dragToData="1"/>
    <pivotHierarchy multipleItemSelectionAllowed="1" dragToData="1">
      <members count="1" level="1">
        <member name="[Calendar Table].[Date (Month)].&amp;[Aug]"/>
      </members>
    </pivotHierarchy>
    <pivotHierarchy dragToData="1"/>
    <pivotHierarchy multipleItemSelectionAllowed="1" dragToData="1">
      <members count="1" level="1">
        <member name="[Calenda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2"/>
    <pivotHierarchy dragToData="1" caption="Distinct Count of Patient 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7AE3E06-D445-4591-A98F-CCC7E1BB4B6A}" sourceName="[Calendar Table].[Date (Month)]">
  <pivotTables>
    <pivotTable tabId="1" name="PivotTable5"/>
    <pivotTable tabId="1" name="PivotTable1"/>
    <pivotTable tabId="1" name="PivotTable2"/>
    <pivotTable tabId="1" name="PivotTable3"/>
    <pivotTable tabId="1" name="PivotTable4"/>
    <pivotTable tabId="1" name="PivotTable6"/>
    <pivotTable tabId="1" name="PivotTable7"/>
    <pivotTable tabId="1" name="PivotTable8"/>
    <pivotTable tabId="1" name="PivotTable9"/>
    <pivotTable tabId="1" name="PivotTable10"/>
    <pivotTable tabId="1" name="PivotTable11"/>
    <pivotTable tabId="1" name="PivotTable16"/>
  </pivotTables>
  <data>
    <olap pivotCacheId="194574282">
      <levels count="2">
        <level uniqueName="[Calendar Table].[Date (Month)].[(All)]" sourceCaption="(All)" count="0"/>
        <level uniqueName="[Calendar Table].[Date (Month)].[Date (Month)]" sourceCaption="Date (Month)" count="12">
          <ranges>
            <range startItem="0">
              <i n="[Calendar Table].[Date (Month)].&amp;[Apr]" c="Apr"/>
              <i n="[Calendar Table].[Date (Month)].&amp;[May]" c="May"/>
              <i n="[Calendar Table].[Date (Month)].&amp;[Jun]" c="Jun"/>
              <i n="[Calendar Table].[Date (Month)].&amp;[Jul]" c="Jul"/>
              <i n="[Calendar Table].[Date (Month)].&amp;[Aug]" c="Aug"/>
              <i n="[Calendar Table].[Date (Month)].&amp;[Sep]" c="Sep"/>
              <i n="[Calendar Table].[Date (Month)].&amp;[Oct]" c="Oct"/>
              <i n="[Calendar Table].[Date (Month)].&amp;[Nov]" c="Nov"/>
              <i n="[Calendar Table].[Date (Month)].&amp;[Dec]" c="Dec"/>
              <i n="[Calendar Table].[Date (Month)].&amp;[Jan]" c="Jan" nd="1"/>
              <i n="[Calendar Table].[Date (Month)].&amp;[Feb]" c="Feb" nd="1"/>
              <i n="[Calendar Table].[Date (Month)].&amp;[Mar]" c="Mar" nd="1"/>
            </range>
          </ranges>
        </level>
      </levels>
      <selections count="1">
        <selection n="[Calendar Table].[Date (Month)].&amp;[Au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9F8902F-6FFD-4292-83BA-52C32DAF99A6}" sourceName="[Calendar Table].[Date (Year)]">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6"/>
  </pivotTables>
  <data>
    <olap pivotCacheId="194574282">
      <levels count="2">
        <level uniqueName="[Calendar Table].[Date (Year)].[(All)]" sourceCaption="(All)" count="0"/>
        <level uniqueName="[Calendar Table].[Date (Year)].[Date (Year)]" sourceCaption="Date (Year)" count="2">
          <ranges>
            <range startItem="0">
              <i n="[Calendar Table].[Date (Year)].&amp;[2023]" c="2023"/>
              <i n="[Calendar Table].[Date (Year)].&amp;[2024]" c="2024"/>
            </range>
          </ranges>
        </level>
      </levels>
      <selections count="1">
        <selection n="[Calendar 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84B16C57-4F29-46F5-A09A-CD169778949C}" cache="Slicer_Date__Month" caption="Date (Month)" showCaption="0" level="1" style="SlicerStyleLight1 2" rowHeight="374400"/>
  <slicer name="Date (Year)" xr10:uid="{40D2DC24-26DC-4F76-B17D-4B19866D6338}" cache="Slicer_Date__Year" caption="Date (Year)" columnCount="2" showCaption="0" level="1" style="SlicerStyleLight1 2" rowHeight="32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7.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0FA42-DDC8-409D-8921-36C3DC1365F6}">
  <dimension ref="A1:X56"/>
  <sheetViews>
    <sheetView tabSelected="1" zoomScaleNormal="100" workbookViewId="0">
      <selection activeCell="V13" sqref="V13"/>
    </sheetView>
  </sheetViews>
  <sheetFormatPr defaultColWidth="0" defaultRowHeight="15" zeroHeight="1" x14ac:dyDescent="0.25"/>
  <cols>
    <col min="1" max="24" width="9.140625" style="11" customWidth="1"/>
    <col min="25" max="16384" width="9.140625" style="11" hidden="1"/>
  </cols>
  <sheetData>
    <row r="1" s="11" customFormat="1" x14ac:dyDescent="0.25"/>
    <row r="2" s="11" customFormat="1" x14ac:dyDescent="0.25"/>
    <row r="3" s="11" customFormat="1" x14ac:dyDescent="0.25"/>
    <row r="4" s="11" customFormat="1" x14ac:dyDescent="0.25"/>
    <row r="5" s="11" customFormat="1" x14ac:dyDescent="0.25"/>
    <row r="6" s="11" customFormat="1" x14ac:dyDescent="0.25"/>
    <row r="7" s="11" customFormat="1" x14ac:dyDescent="0.25"/>
    <row r="8" s="11" customFormat="1" x14ac:dyDescent="0.25"/>
    <row r="9" s="11" customFormat="1" x14ac:dyDescent="0.25"/>
    <row r="10" s="11" customFormat="1" x14ac:dyDescent="0.25"/>
    <row r="11" s="11" customFormat="1" x14ac:dyDescent="0.25"/>
    <row r="12" s="11" customFormat="1" x14ac:dyDescent="0.25"/>
    <row r="13" s="11" customFormat="1" x14ac:dyDescent="0.25"/>
    <row r="14" s="11" customFormat="1" x14ac:dyDescent="0.25"/>
    <row r="15" s="11" customFormat="1" x14ac:dyDescent="0.25"/>
    <row r="16" s="11" customFormat="1" x14ac:dyDescent="0.25"/>
    <row r="17" s="11" customFormat="1" x14ac:dyDescent="0.25"/>
    <row r="18" s="11" customFormat="1" x14ac:dyDescent="0.25"/>
    <row r="19" s="11" customFormat="1" x14ac:dyDescent="0.25"/>
    <row r="20" s="11" customFormat="1" x14ac:dyDescent="0.25"/>
    <row r="21" s="11" customFormat="1" x14ac:dyDescent="0.25"/>
    <row r="22" s="11" customFormat="1" x14ac:dyDescent="0.25"/>
    <row r="23" s="11" customFormat="1" x14ac:dyDescent="0.25"/>
    <row r="24" s="11" customFormat="1" x14ac:dyDescent="0.25"/>
    <row r="25" s="11" customFormat="1" x14ac:dyDescent="0.25"/>
    <row r="26" s="11" customFormat="1" x14ac:dyDescent="0.25"/>
    <row r="27" s="11" customFormat="1" x14ac:dyDescent="0.25"/>
    <row r="28" s="11" customFormat="1" x14ac:dyDescent="0.25"/>
    <row r="29" s="11" customFormat="1" x14ac:dyDescent="0.25"/>
    <row r="30" s="11" customFormat="1" x14ac:dyDescent="0.25"/>
    <row r="31" s="11" customFormat="1" x14ac:dyDescent="0.25"/>
    <row r="32" s="11" customFormat="1" x14ac:dyDescent="0.25"/>
    <row r="33" s="11" customFormat="1" x14ac:dyDescent="0.25"/>
    <row r="34" s="11" customFormat="1" x14ac:dyDescent="0.25"/>
    <row r="35" s="11" customFormat="1" x14ac:dyDescent="0.25"/>
    <row r="36" s="11" customFormat="1" x14ac:dyDescent="0.25"/>
    <row r="37" s="11" customFormat="1" x14ac:dyDescent="0.25"/>
    <row r="38" s="11" customFormat="1" x14ac:dyDescent="0.25"/>
    <row r="39" s="11" customFormat="1" hidden="1" x14ac:dyDescent="0.25"/>
    <row r="40" s="11" customFormat="1" hidden="1" x14ac:dyDescent="0.25"/>
    <row r="41" s="11" customFormat="1" hidden="1" x14ac:dyDescent="0.25"/>
    <row r="42" s="11" customFormat="1" hidden="1" x14ac:dyDescent="0.25"/>
    <row r="43" s="11" customFormat="1" hidden="1" x14ac:dyDescent="0.25"/>
    <row r="44" s="11" customFormat="1" hidden="1" x14ac:dyDescent="0.25"/>
    <row r="45" s="11" customFormat="1" hidden="1" x14ac:dyDescent="0.25"/>
    <row r="46" s="11" customFormat="1" hidden="1" x14ac:dyDescent="0.25"/>
    <row r="47" s="11" customFormat="1" hidden="1" x14ac:dyDescent="0.25"/>
    <row r="48" s="11" customFormat="1" hidden="1" x14ac:dyDescent="0.25"/>
    <row r="49" s="11" customFormat="1" hidden="1" x14ac:dyDescent="0.25"/>
    <row r="50" s="11" customFormat="1" hidden="1" x14ac:dyDescent="0.25"/>
    <row r="51" s="11" customFormat="1" hidden="1" x14ac:dyDescent="0.25"/>
    <row r="52" s="11" customFormat="1" hidden="1" x14ac:dyDescent="0.25"/>
    <row r="53" s="11" customFormat="1" hidden="1" x14ac:dyDescent="0.25"/>
    <row r="54" s="11" customFormat="1" hidden="1" x14ac:dyDescent="0.25"/>
    <row r="55" s="11" customFormat="1" hidden="1" x14ac:dyDescent="0.25"/>
    <row r="56" s="11" customFormat="1" hidden="1" x14ac:dyDescent="0.25"/>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879C-3F37-49C3-8A01-9DC3460E7516}">
  <dimension ref="A1"/>
  <sheetViews>
    <sheetView workbookViewId="0">
      <selection activeCell="Q41" sqref="Q41"/>
    </sheetView>
  </sheetViews>
  <sheetFormatPr defaultRowHeight="15" x14ac:dyDescent="0.25"/>
  <cols>
    <col min="1" max="16384" width="9.140625" style="3"/>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A57C6-D346-4A3C-9BBF-6933F3784697}">
  <dimension ref="A1"/>
  <sheetViews>
    <sheetView workbookViewId="0">
      <selection activeCell="N48" sqref="N48"/>
    </sheetView>
  </sheetViews>
  <sheetFormatPr defaultRowHeight="15" x14ac:dyDescent="0.25"/>
  <cols>
    <col min="1" max="16384" width="9.140625" style="3"/>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EE2E8-7788-41C6-A4B8-F8D175F080F1}">
  <dimension ref="A1"/>
  <sheetViews>
    <sheetView workbookViewId="0"/>
  </sheetViews>
  <sheetFormatPr defaultRowHeight="15" x14ac:dyDescent="0.25"/>
  <cols>
    <col min="1" max="16384" width="9.140625" style="3"/>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CB266-026E-4F58-B4F1-805B9629755E}">
  <dimension ref="B4:AP39"/>
  <sheetViews>
    <sheetView zoomScale="70" zoomScaleNormal="70" workbookViewId="0">
      <selection activeCell="K51" sqref="K51"/>
    </sheetView>
  </sheetViews>
  <sheetFormatPr defaultRowHeight="15" x14ac:dyDescent="0.25"/>
  <cols>
    <col min="2" max="2" width="45.7109375" bestFit="1" customWidth="1"/>
    <col min="5" max="5" width="15" bestFit="1" customWidth="1"/>
    <col min="6" max="6" width="32.85546875" bestFit="1" customWidth="1"/>
    <col min="8" max="8" width="15" bestFit="1" customWidth="1"/>
    <col min="9" max="9" width="33.85546875" bestFit="1" customWidth="1"/>
    <col min="11" max="11" width="15" bestFit="1" customWidth="1"/>
    <col min="12" max="12" width="45.7109375" bestFit="1" customWidth="1"/>
    <col min="17" max="17" width="15" bestFit="1" customWidth="1"/>
    <col min="18" max="18" width="32.85546875" bestFit="1" customWidth="1"/>
    <col min="21" max="21" width="17.85546875" bestFit="1" customWidth="1"/>
    <col min="22" max="22" width="32.85546875" bestFit="1" customWidth="1"/>
    <col min="25" max="25" width="15" bestFit="1" customWidth="1"/>
    <col min="26" max="26" width="23.140625" bestFit="1" customWidth="1"/>
    <col min="28" max="28" width="15" bestFit="1" customWidth="1"/>
    <col min="29" max="29" width="23.140625" bestFit="1" customWidth="1"/>
    <col min="31" max="31" width="15" bestFit="1" customWidth="1"/>
    <col min="32" max="32" width="24.5703125" bestFit="1" customWidth="1"/>
    <col min="33" max="33" width="23.140625" bestFit="1" customWidth="1"/>
    <col min="35" max="35" width="1.140625" customWidth="1"/>
    <col min="36" max="36" width="18.140625" bestFit="1" customWidth="1"/>
    <col min="37" max="37" width="9.28515625" bestFit="1" customWidth="1"/>
    <col min="38" max="38" width="15" customWidth="1"/>
    <col min="39" max="39" width="6.7109375" bestFit="1" customWidth="1"/>
    <col min="41" max="41" width="17.85546875" bestFit="1" customWidth="1"/>
    <col min="42" max="42" width="24.5703125" bestFit="1" customWidth="1"/>
  </cols>
  <sheetData>
    <row r="4" spans="2:42" ht="6" customHeight="1" x14ac:dyDescent="0.25">
      <c r="AI4" s="10"/>
      <c r="AJ4" s="10"/>
      <c r="AK4" s="10"/>
      <c r="AL4" s="10"/>
      <c r="AM4" s="10"/>
    </row>
    <row r="5" spans="2:42" x14ac:dyDescent="0.25">
      <c r="B5" t="s">
        <v>0</v>
      </c>
      <c r="E5" s="4" t="s">
        <v>3</v>
      </c>
      <c r="F5" t="s">
        <v>0</v>
      </c>
      <c r="H5" s="4" t="s">
        <v>3</v>
      </c>
      <c r="I5" t="s">
        <v>1</v>
      </c>
      <c r="K5" s="4" t="s">
        <v>3</v>
      </c>
      <c r="L5" t="s">
        <v>2</v>
      </c>
      <c r="Q5" s="4" t="s">
        <v>3</v>
      </c>
      <c r="R5" t="s">
        <v>0</v>
      </c>
      <c r="U5" s="4" t="s">
        <v>3</v>
      </c>
      <c r="V5" t="s">
        <v>0</v>
      </c>
      <c r="Y5" s="4" t="s">
        <v>3</v>
      </c>
      <c r="Z5" t="s">
        <v>56</v>
      </c>
      <c r="AB5" s="4" t="s">
        <v>3</v>
      </c>
      <c r="AC5" t="s">
        <v>56</v>
      </c>
      <c r="AE5" s="4" t="s">
        <v>3</v>
      </c>
      <c r="AF5" t="s">
        <v>57</v>
      </c>
      <c r="AG5" t="s">
        <v>56</v>
      </c>
      <c r="AI5" s="10"/>
      <c r="AJ5" s="12" t="s">
        <v>62</v>
      </c>
      <c r="AK5" s="12" t="s">
        <v>63</v>
      </c>
      <c r="AL5" s="17" t="s">
        <v>64</v>
      </c>
      <c r="AM5" s="17"/>
      <c r="AO5" s="4" t="s">
        <v>3</v>
      </c>
      <c r="AP5" t="s">
        <v>57</v>
      </c>
    </row>
    <row r="6" spans="2:42" x14ac:dyDescent="0.25">
      <c r="B6">
        <v>494</v>
      </c>
      <c r="E6" s="5" t="s">
        <v>5</v>
      </c>
      <c r="H6" s="5" t="s">
        <v>5</v>
      </c>
      <c r="K6" s="5" t="s">
        <v>5</v>
      </c>
      <c r="Q6" s="5" t="s">
        <v>38</v>
      </c>
      <c r="R6">
        <v>64</v>
      </c>
      <c r="U6" s="5" t="s">
        <v>53</v>
      </c>
      <c r="V6">
        <v>6</v>
      </c>
      <c r="Y6" s="5" t="s">
        <v>54</v>
      </c>
      <c r="Z6" s="9">
        <v>0.62145748987854255</v>
      </c>
      <c r="AB6" s="5" t="s">
        <v>58</v>
      </c>
      <c r="AC6" s="9">
        <v>0.48785425101214575</v>
      </c>
      <c r="AE6" s="5" t="s">
        <v>61</v>
      </c>
      <c r="AF6">
        <v>260</v>
      </c>
      <c r="AG6" s="9">
        <v>0.52631578947368418</v>
      </c>
      <c r="AI6" s="10"/>
      <c r="AJ6" s="13" t="str">
        <f>AE6</f>
        <v>Not Admitted</v>
      </c>
      <c r="AK6" s="14">
        <f t="shared" ref="AK6:AK7" si="0">AF6</f>
        <v>260</v>
      </c>
      <c r="AL6" s="15"/>
      <c r="AM6" s="16">
        <f>AG6</f>
        <v>0.52631578947368418</v>
      </c>
      <c r="AO6" s="5" t="s">
        <v>60</v>
      </c>
      <c r="AP6">
        <v>234</v>
      </c>
    </row>
    <row r="7" spans="2:42" x14ac:dyDescent="0.25">
      <c r="E7" s="6" t="s">
        <v>6</v>
      </c>
      <c r="H7" s="6" t="s">
        <v>6</v>
      </c>
      <c r="K7" s="6" t="s">
        <v>6</v>
      </c>
      <c r="Q7" s="5" t="s">
        <v>39</v>
      </c>
      <c r="R7">
        <v>74</v>
      </c>
      <c r="U7" s="5" t="s">
        <v>49</v>
      </c>
      <c r="V7">
        <v>8</v>
      </c>
      <c r="Y7" s="5" t="s">
        <v>55</v>
      </c>
      <c r="Z7" s="9">
        <v>0.37854251012145751</v>
      </c>
      <c r="AB7" s="5" t="s">
        <v>59</v>
      </c>
      <c r="AC7" s="9">
        <v>0.51214574898785425</v>
      </c>
      <c r="AE7" s="5" t="s">
        <v>60</v>
      </c>
      <c r="AF7">
        <v>234</v>
      </c>
      <c r="AG7" s="9">
        <v>0.47368421052631576</v>
      </c>
      <c r="AI7" s="10"/>
      <c r="AJ7" s="13" t="str">
        <f>AE7</f>
        <v>Admitted</v>
      </c>
      <c r="AK7" s="14">
        <f t="shared" si="0"/>
        <v>234</v>
      </c>
      <c r="AL7" s="15"/>
      <c r="AM7" s="16">
        <f>AG7</f>
        <v>0.47368421052631576</v>
      </c>
      <c r="AO7" s="5" t="s">
        <v>61</v>
      </c>
      <c r="AP7">
        <v>260</v>
      </c>
    </row>
    <row r="8" spans="2:42" ht="6" customHeight="1" x14ac:dyDescent="0.25">
      <c r="E8" s="7" t="s">
        <v>7</v>
      </c>
      <c r="F8">
        <v>14</v>
      </c>
      <c r="H8" s="7" t="s">
        <v>7</v>
      </c>
      <c r="I8" s="2">
        <v>35.714285714285715</v>
      </c>
      <c r="K8" s="7" t="s">
        <v>7</v>
      </c>
      <c r="L8" s="8">
        <v>8</v>
      </c>
      <c r="Q8" s="5" t="s">
        <v>40</v>
      </c>
      <c r="R8">
        <v>54</v>
      </c>
      <c r="U8" s="5" t="s">
        <v>47</v>
      </c>
      <c r="V8">
        <v>8</v>
      </c>
      <c r="Y8" s="5" t="s">
        <v>4</v>
      </c>
      <c r="Z8" s="9">
        <v>1</v>
      </c>
      <c r="AB8" s="5" t="s">
        <v>4</v>
      </c>
      <c r="AC8" s="9">
        <v>1</v>
      </c>
      <c r="AE8" s="5" t="s">
        <v>4</v>
      </c>
      <c r="AF8">
        <v>494</v>
      </c>
      <c r="AG8" s="9">
        <v>1</v>
      </c>
      <c r="AI8" s="10"/>
      <c r="AJ8" s="10"/>
      <c r="AK8" s="10"/>
      <c r="AL8" s="10"/>
      <c r="AM8" s="10"/>
      <c r="AO8" s="5" t="s">
        <v>4</v>
      </c>
      <c r="AP8">
        <v>494</v>
      </c>
    </row>
    <row r="9" spans="2:42" x14ac:dyDescent="0.25">
      <c r="B9" t="s">
        <v>1</v>
      </c>
      <c r="E9" s="7" t="s">
        <v>8</v>
      </c>
      <c r="F9">
        <v>15</v>
      </c>
      <c r="H9" s="7" t="s">
        <v>8</v>
      </c>
      <c r="I9" s="2">
        <v>38.533333333333331</v>
      </c>
      <c r="K9" s="7" t="s">
        <v>8</v>
      </c>
      <c r="L9" s="8">
        <v>4</v>
      </c>
      <c r="Q9" s="5" t="s">
        <v>41</v>
      </c>
      <c r="R9">
        <v>73</v>
      </c>
      <c r="U9" s="5" t="s">
        <v>52</v>
      </c>
      <c r="V9">
        <v>11</v>
      </c>
    </row>
    <row r="10" spans="2:42" x14ac:dyDescent="0.25">
      <c r="B10" s="2">
        <v>36.392712550607285</v>
      </c>
      <c r="E10" s="7" t="s">
        <v>9</v>
      </c>
      <c r="F10">
        <v>17</v>
      </c>
      <c r="H10" s="7" t="s">
        <v>9</v>
      </c>
      <c r="I10" s="2">
        <v>38.941176470588232</v>
      </c>
      <c r="K10" s="7" t="s">
        <v>9</v>
      </c>
      <c r="L10" s="8">
        <v>5.333333333333333</v>
      </c>
      <c r="Q10" s="5" t="s">
        <v>42</v>
      </c>
      <c r="R10">
        <v>62</v>
      </c>
      <c r="U10" s="5" t="s">
        <v>46</v>
      </c>
      <c r="V10">
        <v>17</v>
      </c>
    </row>
    <row r="11" spans="2:42" x14ac:dyDescent="0.25">
      <c r="E11" s="7" t="s">
        <v>10</v>
      </c>
      <c r="F11">
        <v>12</v>
      </c>
      <c r="H11" s="7" t="s">
        <v>10</v>
      </c>
      <c r="I11" s="2">
        <v>35.666666666666664</v>
      </c>
      <c r="K11" s="7" t="s">
        <v>10</v>
      </c>
      <c r="L11" s="8">
        <v>4.666666666666667</v>
      </c>
      <c r="Q11" s="5" t="s">
        <v>43</v>
      </c>
      <c r="R11">
        <v>53</v>
      </c>
      <c r="U11" s="5" t="s">
        <v>51</v>
      </c>
      <c r="V11">
        <v>49</v>
      </c>
    </row>
    <row r="12" spans="2:42" x14ac:dyDescent="0.25">
      <c r="B12" t="s">
        <v>2</v>
      </c>
      <c r="E12" s="7" t="s">
        <v>11</v>
      </c>
      <c r="F12">
        <v>23</v>
      </c>
      <c r="H12" s="7" t="s">
        <v>11</v>
      </c>
      <c r="I12" s="2">
        <v>39.478260869565219</v>
      </c>
      <c r="K12" s="7" t="s">
        <v>11</v>
      </c>
      <c r="L12" s="8">
        <v>6.2</v>
      </c>
      <c r="Q12" s="5" t="s">
        <v>44</v>
      </c>
      <c r="R12">
        <v>62</v>
      </c>
      <c r="U12" s="5" t="s">
        <v>48</v>
      </c>
      <c r="V12">
        <v>92</v>
      </c>
      <c r="AO12">
        <f>AP7</f>
        <v>260</v>
      </c>
      <c r="AP12">
        <f>AP6+AP7</f>
        <v>494</v>
      </c>
    </row>
    <row r="13" spans="2:42" x14ac:dyDescent="0.25">
      <c r="B13" s="1">
        <v>5.0629921259842519</v>
      </c>
      <c r="E13" s="7" t="s">
        <v>12</v>
      </c>
      <c r="F13">
        <v>10</v>
      </c>
      <c r="H13" s="7" t="s">
        <v>12</v>
      </c>
      <c r="I13" s="2">
        <v>25.1</v>
      </c>
      <c r="K13" s="7" t="s">
        <v>12</v>
      </c>
      <c r="L13" s="8">
        <v>6.333333333333333</v>
      </c>
      <c r="Q13" s="5" t="s">
        <v>45</v>
      </c>
      <c r="R13">
        <v>52</v>
      </c>
      <c r="U13" s="5" t="s">
        <v>50</v>
      </c>
      <c r="V13">
        <v>303</v>
      </c>
      <c r="AO13">
        <f>AP6</f>
        <v>234</v>
      </c>
      <c r="AP13">
        <f>AP6+AP7</f>
        <v>494</v>
      </c>
    </row>
    <row r="14" spans="2:42" x14ac:dyDescent="0.25">
      <c r="E14" s="7" t="s">
        <v>13</v>
      </c>
      <c r="F14">
        <v>18</v>
      </c>
      <c r="H14" s="7" t="s">
        <v>13</v>
      </c>
      <c r="I14" s="2">
        <v>43.666666666666664</v>
      </c>
      <c r="K14" s="7" t="s">
        <v>13</v>
      </c>
      <c r="L14" s="8">
        <v>9.5</v>
      </c>
      <c r="Q14" s="5" t="s">
        <v>4</v>
      </c>
      <c r="R14">
        <v>494</v>
      </c>
      <c r="U14" s="5" t="s">
        <v>4</v>
      </c>
      <c r="V14">
        <v>494</v>
      </c>
    </row>
    <row r="15" spans="2:42" x14ac:dyDescent="0.25">
      <c r="E15" s="7" t="s">
        <v>14</v>
      </c>
      <c r="F15">
        <v>11</v>
      </c>
      <c r="H15" s="7" t="s">
        <v>14</v>
      </c>
      <c r="I15" s="2">
        <v>38.090909090909093</v>
      </c>
      <c r="K15" s="7" t="s">
        <v>14</v>
      </c>
      <c r="L15" s="8">
        <v>2</v>
      </c>
    </row>
    <row r="16" spans="2:42" x14ac:dyDescent="0.25">
      <c r="E16" s="7" t="s">
        <v>15</v>
      </c>
      <c r="F16">
        <v>12</v>
      </c>
      <c r="H16" s="7" t="s">
        <v>15</v>
      </c>
      <c r="I16" s="2">
        <v>28.25</v>
      </c>
      <c r="K16" s="7" t="s">
        <v>15</v>
      </c>
      <c r="L16" s="8">
        <v>6.666666666666667</v>
      </c>
    </row>
    <row r="17" spans="5:12" x14ac:dyDescent="0.25">
      <c r="E17" s="7" t="s">
        <v>16</v>
      </c>
      <c r="F17">
        <v>24</v>
      </c>
      <c r="H17" s="7" t="s">
        <v>16</v>
      </c>
      <c r="I17" s="2">
        <v>36.291666666666664</v>
      </c>
      <c r="K17" s="7" t="s">
        <v>16</v>
      </c>
      <c r="L17" s="8">
        <v>2.25</v>
      </c>
    </row>
    <row r="18" spans="5:12" x14ac:dyDescent="0.25">
      <c r="E18" s="7" t="s">
        <v>17</v>
      </c>
      <c r="F18">
        <v>16</v>
      </c>
      <c r="H18" s="7" t="s">
        <v>17</v>
      </c>
      <c r="I18" s="2">
        <v>31.875</v>
      </c>
      <c r="K18" s="7" t="s">
        <v>17</v>
      </c>
      <c r="L18" s="8">
        <v>3</v>
      </c>
    </row>
    <row r="19" spans="5:12" x14ac:dyDescent="0.25">
      <c r="E19" s="7" t="s">
        <v>18</v>
      </c>
      <c r="F19">
        <v>21</v>
      </c>
      <c r="H19" s="7" t="s">
        <v>18</v>
      </c>
      <c r="I19" s="2">
        <v>32.333333333333336</v>
      </c>
      <c r="K19" s="7" t="s">
        <v>18</v>
      </c>
      <c r="L19" s="8">
        <v>4.7142857142857144</v>
      </c>
    </row>
    <row r="20" spans="5:12" x14ac:dyDescent="0.25">
      <c r="E20" s="7" t="s">
        <v>19</v>
      </c>
      <c r="F20">
        <v>16</v>
      </c>
      <c r="H20" s="7" t="s">
        <v>19</v>
      </c>
      <c r="I20" s="2">
        <v>36.3125</v>
      </c>
      <c r="K20" s="7" t="s">
        <v>19</v>
      </c>
      <c r="L20" s="8">
        <v>10</v>
      </c>
    </row>
    <row r="21" spans="5:12" x14ac:dyDescent="0.25">
      <c r="E21" s="7" t="s">
        <v>20</v>
      </c>
      <c r="F21">
        <v>15</v>
      </c>
      <c r="H21" s="7" t="s">
        <v>20</v>
      </c>
      <c r="I21" s="2">
        <v>41.133333333333333</v>
      </c>
      <c r="K21" s="7" t="s">
        <v>20</v>
      </c>
      <c r="L21" s="8">
        <v>5.666666666666667</v>
      </c>
    </row>
    <row r="22" spans="5:12" x14ac:dyDescent="0.25">
      <c r="E22" s="7" t="s">
        <v>21</v>
      </c>
      <c r="F22">
        <v>14</v>
      </c>
      <c r="H22" s="7" t="s">
        <v>21</v>
      </c>
      <c r="I22" s="2">
        <v>32.071428571428569</v>
      </c>
      <c r="K22" s="7" t="s">
        <v>21</v>
      </c>
      <c r="L22" s="8">
        <v>5</v>
      </c>
    </row>
    <row r="23" spans="5:12" x14ac:dyDescent="0.25">
      <c r="E23" s="7" t="s">
        <v>22</v>
      </c>
      <c r="F23">
        <v>18</v>
      </c>
      <c r="H23" s="7" t="s">
        <v>22</v>
      </c>
      <c r="I23" s="2">
        <v>34.222222222222221</v>
      </c>
      <c r="K23" s="7" t="s">
        <v>22</v>
      </c>
      <c r="L23" s="8">
        <v>3</v>
      </c>
    </row>
    <row r="24" spans="5:12" x14ac:dyDescent="0.25">
      <c r="E24" s="7" t="s">
        <v>23</v>
      </c>
      <c r="F24">
        <v>12</v>
      </c>
      <c r="H24" s="7" t="s">
        <v>23</v>
      </c>
      <c r="I24" s="2">
        <v>43.666666666666664</v>
      </c>
      <c r="K24" s="7" t="s">
        <v>23</v>
      </c>
      <c r="L24" s="8">
        <v>5.333333333333333</v>
      </c>
    </row>
    <row r="25" spans="5:12" x14ac:dyDescent="0.25">
      <c r="E25" s="7" t="s">
        <v>24</v>
      </c>
      <c r="F25">
        <v>18</v>
      </c>
      <c r="H25" s="7" t="s">
        <v>24</v>
      </c>
      <c r="I25" s="2">
        <v>38.5</v>
      </c>
      <c r="K25" s="7" t="s">
        <v>24</v>
      </c>
      <c r="L25" s="8">
        <v>5.833333333333333</v>
      </c>
    </row>
    <row r="26" spans="5:12" x14ac:dyDescent="0.25">
      <c r="E26" s="7" t="s">
        <v>25</v>
      </c>
      <c r="F26">
        <v>16</v>
      </c>
      <c r="H26" s="7" t="s">
        <v>25</v>
      </c>
      <c r="I26" s="2">
        <v>32.6875</v>
      </c>
      <c r="K26" s="7" t="s">
        <v>25</v>
      </c>
      <c r="L26" s="8">
        <v>5.8</v>
      </c>
    </row>
    <row r="27" spans="5:12" x14ac:dyDescent="0.25">
      <c r="E27" s="7" t="s">
        <v>26</v>
      </c>
      <c r="F27">
        <v>22</v>
      </c>
      <c r="H27" s="7" t="s">
        <v>26</v>
      </c>
      <c r="I27" s="2">
        <v>41.045454545454547</v>
      </c>
      <c r="K27" s="7" t="s">
        <v>26</v>
      </c>
      <c r="L27" s="8">
        <v>5.2</v>
      </c>
    </row>
    <row r="28" spans="5:12" x14ac:dyDescent="0.25">
      <c r="E28" s="7" t="s">
        <v>27</v>
      </c>
      <c r="F28">
        <v>16</v>
      </c>
      <c r="H28" s="7" t="s">
        <v>27</v>
      </c>
      <c r="I28" s="2">
        <v>36.6875</v>
      </c>
      <c r="K28" s="7" t="s">
        <v>27</v>
      </c>
      <c r="L28" s="8">
        <v>4.5</v>
      </c>
    </row>
    <row r="29" spans="5:12" x14ac:dyDescent="0.25">
      <c r="E29" s="7" t="s">
        <v>28</v>
      </c>
      <c r="F29">
        <v>10</v>
      </c>
      <c r="H29" s="7" t="s">
        <v>28</v>
      </c>
      <c r="I29" s="2">
        <v>38.5</v>
      </c>
      <c r="K29" s="7" t="s">
        <v>28</v>
      </c>
      <c r="L29" s="8">
        <v>6</v>
      </c>
    </row>
    <row r="30" spans="5:12" x14ac:dyDescent="0.25">
      <c r="E30" s="7" t="s">
        <v>29</v>
      </c>
      <c r="F30">
        <v>18</v>
      </c>
      <c r="H30" s="7" t="s">
        <v>29</v>
      </c>
      <c r="I30" s="2">
        <v>33.777777777777779</v>
      </c>
      <c r="K30" s="7" t="s">
        <v>29</v>
      </c>
      <c r="L30" s="8">
        <v>6.5</v>
      </c>
    </row>
    <row r="31" spans="5:12" x14ac:dyDescent="0.25">
      <c r="E31" s="7" t="s">
        <v>30</v>
      </c>
      <c r="F31">
        <v>13</v>
      </c>
      <c r="H31" s="7" t="s">
        <v>30</v>
      </c>
      <c r="I31" s="2">
        <v>41.692307692307693</v>
      </c>
      <c r="K31" s="7" t="s">
        <v>30</v>
      </c>
      <c r="L31" s="8">
        <v>4.166666666666667</v>
      </c>
    </row>
    <row r="32" spans="5:12" x14ac:dyDescent="0.25">
      <c r="E32" s="7" t="s">
        <v>31</v>
      </c>
      <c r="F32">
        <v>20</v>
      </c>
      <c r="H32" s="7" t="s">
        <v>31</v>
      </c>
      <c r="I32" s="2">
        <v>31.7</v>
      </c>
      <c r="K32" s="7" t="s">
        <v>31</v>
      </c>
      <c r="L32" s="8">
        <v>3.6666666666666665</v>
      </c>
    </row>
    <row r="33" spans="5:12" x14ac:dyDescent="0.25">
      <c r="E33" s="7" t="s">
        <v>32</v>
      </c>
      <c r="F33">
        <v>17</v>
      </c>
      <c r="H33" s="7" t="s">
        <v>32</v>
      </c>
      <c r="I33" s="2">
        <v>36.470588235294116</v>
      </c>
      <c r="K33" s="7" t="s">
        <v>32</v>
      </c>
      <c r="L33" s="8">
        <v>3.5</v>
      </c>
    </row>
    <row r="34" spans="5:12" x14ac:dyDescent="0.25">
      <c r="E34" s="7" t="s">
        <v>33</v>
      </c>
      <c r="F34">
        <v>19</v>
      </c>
      <c r="H34" s="7" t="s">
        <v>33</v>
      </c>
      <c r="I34" s="2">
        <v>37.210526315789473</v>
      </c>
      <c r="K34" s="7" t="s">
        <v>33</v>
      </c>
      <c r="L34" s="8">
        <v>6</v>
      </c>
    </row>
    <row r="35" spans="5:12" x14ac:dyDescent="0.25">
      <c r="E35" s="7" t="s">
        <v>34</v>
      </c>
      <c r="F35">
        <v>17</v>
      </c>
      <c r="H35" s="7" t="s">
        <v>34</v>
      </c>
      <c r="I35" s="2">
        <v>36.294117647058826</v>
      </c>
      <c r="K35" s="7" t="s">
        <v>34</v>
      </c>
      <c r="L35" s="8">
        <v>5.1428571428571432</v>
      </c>
    </row>
    <row r="36" spans="5:12" x14ac:dyDescent="0.25">
      <c r="E36" s="7" t="s">
        <v>35</v>
      </c>
      <c r="F36">
        <v>22</v>
      </c>
      <c r="H36" s="7" t="s">
        <v>35</v>
      </c>
      <c r="I36" s="2">
        <v>32</v>
      </c>
      <c r="K36" s="7" t="s">
        <v>35</v>
      </c>
      <c r="L36" s="8">
        <v>4</v>
      </c>
    </row>
    <row r="37" spans="5:12" x14ac:dyDescent="0.25">
      <c r="E37" s="7" t="s">
        <v>36</v>
      </c>
      <c r="F37">
        <v>9</v>
      </c>
      <c r="H37" s="7" t="s">
        <v>36</v>
      </c>
      <c r="I37" s="2">
        <v>41.444444444444443</v>
      </c>
      <c r="K37" s="7" t="s">
        <v>36</v>
      </c>
      <c r="L37" s="8">
        <v>3.5</v>
      </c>
    </row>
    <row r="38" spans="5:12" x14ac:dyDescent="0.25">
      <c r="E38" s="7" t="s">
        <v>37</v>
      </c>
      <c r="F38">
        <v>9</v>
      </c>
      <c r="H38" s="7" t="s">
        <v>37</v>
      </c>
      <c r="I38" s="2">
        <v>40.444444444444443</v>
      </c>
      <c r="K38" s="7" t="s">
        <v>37</v>
      </c>
      <c r="L38" s="8">
        <v>5</v>
      </c>
    </row>
    <row r="39" spans="5:12" x14ac:dyDescent="0.25">
      <c r="E39" s="5" t="s">
        <v>4</v>
      </c>
      <c r="F39">
        <v>494</v>
      </c>
      <c r="H39" s="5" t="s">
        <v>4</v>
      </c>
      <c r="I39" s="2">
        <v>36.392712550607285</v>
      </c>
      <c r="K39" s="5" t="s">
        <v>4</v>
      </c>
      <c r="L39" s="8">
        <v>5.0629921259842519</v>
      </c>
    </row>
  </sheetData>
  <mergeCells count="1">
    <mergeCell ref="AL5:AM5"/>
  </mergeCells>
  <pageMargins left="0.7" right="0.7" top="0.75" bottom="0.75" header="0.3" footer="0.3"/>
  <drawing r:id="rId1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1A26554F-824D-402C-B9FD-56C5366528F1}">
  <ds:schemaRefs/>
</ds:datastoreItem>
</file>

<file path=customXml/itemProps2.xml><?xml version="1.0" encoding="utf-8"?>
<ds:datastoreItem xmlns:ds="http://schemas.openxmlformats.org/officeDocument/2006/customXml" ds:itemID="{F1B522B3-439E-4FF3-8178-8BBCA11B2D37}">
  <ds:schemaRefs/>
</ds:datastoreItem>
</file>

<file path=customXml/itemProps3.xml><?xml version="1.0" encoding="utf-8"?>
<ds:datastoreItem xmlns:ds="http://schemas.openxmlformats.org/officeDocument/2006/customXml" ds:itemID="{049ADD9F-B310-4D7C-BC5C-7304680FC088}">
  <ds:schemaRefs/>
</ds:datastoreItem>
</file>

<file path=customXml/itemProps4.xml><?xml version="1.0" encoding="utf-8"?>
<ds:datastoreItem xmlns:ds="http://schemas.openxmlformats.org/officeDocument/2006/customXml" ds:itemID="{EDD0B7F0-E6BC-4429-96BD-729E75EF237A}">
  <ds:schemaRefs/>
</ds:datastoreItem>
</file>

<file path=customXml/itemProps5.xml><?xml version="1.0" encoding="utf-8"?>
<ds:datastoreItem xmlns:ds="http://schemas.openxmlformats.org/officeDocument/2006/customXml" ds:itemID="{590A0129-8E4A-49F8-A6A6-0E9823818C3F}">
  <ds:schemaRefs>
    <ds:schemaRef ds:uri="http://schemas.microsoft.com/DataMashup"/>
  </ds:schemaRefs>
</ds:datastoreItem>
</file>

<file path=customXml/itemProps6.xml><?xml version="1.0" encoding="utf-8"?>
<ds:datastoreItem xmlns:ds="http://schemas.openxmlformats.org/officeDocument/2006/customXml" ds:itemID="{97BA9F83-CDDD-4FE4-9F83-64640A4366AA}">
  <ds:schemaRefs/>
</ds:datastoreItem>
</file>

<file path=customXml/itemProps7.xml><?xml version="1.0" encoding="utf-8"?>
<ds:datastoreItem xmlns:ds="http://schemas.openxmlformats.org/officeDocument/2006/customXml" ds:itemID="{014AB1AF-415E-4551-88CD-E4B208D78167}">
  <ds:schemaRefs/>
</ds:datastoreItem>
</file>

<file path=customXml/itemProps8.xml><?xml version="1.0" encoding="utf-8"?>
<ds:datastoreItem xmlns:ds="http://schemas.openxmlformats.org/officeDocument/2006/customXml" ds:itemID="{F0FC5B1A-DE06-419A-99B9-F79B915630EB}">
  <ds:schemaRefs/>
</ds:datastoreItem>
</file>

<file path=customXml/itemProps9.xml><?xml version="1.0" encoding="utf-8"?>
<ds:datastoreItem xmlns:ds="http://schemas.openxmlformats.org/officeDocument/2006/customXml" ds:itemID="{08E810F1-2F40-422A-B36D-477055941AA9}">
  <ds:schemaRefs/>
</ds:datastoreItem>
</file>

<file path=customXml/itemProps10.xml><?xml version="1.0" encoding="utf-8"?>
<ds:datastoreItem xmlns:ds="http://schemas.openxmlformats.org/officeDocument/2006/customXml" ds:itemID="{E05E0542-6A13-4958-831F-04EEF9083793}">
  <ds:schemaRefs/>
</ds:datastoreItem>
</file>

<file path=customXml/itemProps11.xml><?xml version="1.0" encoding="utf-8"?>
<ds:datastoreItem xmlns:ds="http://schemas.openxmlformats.org/officeDocument/2006/customXml" ds:itemID="{8E772DD3-5FE5-4A4B-A43B-82C8D523857B}">
  <ds:schemaRefs/>
</ds:datastoreItem>
</file>

<file path=customXml/itemProps12.xml><?xml version="1.0" encoding="utf-8"?>
<ds:datastoreItem xmlns:ds="http://schemas.openxmlformats.org/officeDocument/2006/customXml" ds:itemID="{18289410-E152-47F6-B802-8C52EBC2CE48}">
  <ds:schemaRefs/>
</ds:datastoreItem>
</file>

<file path=customXml/itemProps13.xml><?xml version="1.0" encoding="utf-8"?>
<ds:datastoreItem xmlns:ds="http://schemas.openxmlformats.org/officeDocument/2006/customXml" ds:itemID="{15B49C14-08E9-4A7C-B6ED-2CD43969EB0F}">
  <ds:schemaRefs/>
</ds:datastoreItem>
</file>

<file path=customXml/itemProps14.xml><?xml version="1.0" encoding="utf-8"?>
<ds:datastoreItem xmlns:ds="http://schemas.openxmlformats.org/officeDocument/2006/customXml" ds:itemID="{F6DAC51E-4463-46B3-A3BA-7016EFB797B9}">
  <ds:schemaRefs/>
</ds:datastoreItem>
</file>

<file path=customXml/itemProps15.xml><?xml version="1.0" encoding="utf-8"?>
<ds:datastoreItem xmlns:ds="http://schemas.openxmlformats.org/officeDocument/2006/customXml" ds:itemID="{D2BE6794-09E3-45D4-8AC1-36626955C558}">
  <ds:schemaRefs/>
</ds:datastoreItem>
</file>

<file path=customXml/itemProps16.xml><?xml version="1.0" encoding="utf-8"?>
<ds:datastoreItem xmlns:ds="http://schemas.openxmlformats.org/officeDocument/2006/customXml" ds:itemID="{06CF482D-F553-487A-A38B-B5076DF49E0F}">
  <ds:schemaRefs/>
</ds:datastoreItem>
</file>

<file path=customXml/itemProps17.xml><?xml version="1.0" encoding="utf-8"?>
<ds:datastoreItem xmlns:ds="http://schemas.openxmlformats.org/officeDocument/2006/customXml" ds:itemID="{455B86C3-4C3D-4CC1-8112-6869573D15D7}">
  <ds:schemaRefs/>
</ds:datastoreItem>
</file>

<file path=customXml/itemProps18.xml><?xml version="1.0" encoding="utf-8"?>
<ds:datastoreItem xmlns:ds="http://schemas.openxmlformats.org/officeDocument/2006/customXml" ds:itemID="{532DA096-14B4-4D49-A423-BD71CB1718A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Patient Trend</vt:lpstr>
      <vt:lpstr>Patient Wait Time Trend</vt:lpstr>
      <vt:lpstr>Patient Satisfaction Trend</vt:lpstr>
      <vt:lpstr>Pivots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Subhomoy Halder</dc:creator>
  <cp:lastModifiedBy>Subhomoy Halder</cp:lastModifiedBy>
  <dcterms:created xsi:type="dcterms:W3CDTF">2026-08-25T07:40:17Z</dcterms:created>
  <dcterms:modified xsi:type="dcterms:W3CDTF">2026-09-07T07:13:32Z</dcterms:modified>
</cp:coreProperties>
</file>